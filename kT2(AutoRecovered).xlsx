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7ACB6C3-7A39-4B60-B308-F4A4155320A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alesData" sheetId="1" r:id="rId2"/>
  </sheet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J7" i="1" l="1"/>
  <c r="J62" i="1"/>
  <c r="J55" i="1"/>
  <c r="J97" i="1"/>
  <c r="J46" i="1"/>
  <c r="J57" i="1"/>
  <c r="J49" i="1"/>
  <c r="J92" i="1"/>
  <c r="J53" i="1"/>
  <c r="J95" i="1"/>
  <c r="J100" i="1"/>
  <c r="J12" i="1"/>
  <c r="J63" i="1"/>
  <c r="J73" i="1"/>
  <c r="J42" i="1"/>
  <c r="J28" i="1"/>
  <c r="J85" i="1"/>
  <c r="J79" i="1"/>
  <c r="J51" i="1"/>
  <c r="J17" i="1"/>
  <c r="J101" i="1"/>
  <c r="J21" i="1"/>
  <c r="J11" i="1"/>
  <c r="J39" i="1"/>
  <c r="J60" i="1"/>
  <c r="J87" i="1"/>
  <c r="J31" i="1"/>
  <c r="J82" i="1"/>
  <c r="J71" i="1"/>
  <c r="J98" i="1"/>
  <c r="J20" i="1"/>
  <c r="J81" i="1"/>
  <c r="J9" i="1"/>
  <c r="J56" i="1"/>
  <c r="J18" i="1"/>
  <c r="J58" i="1"/>
  <c r="J15" i="1"/>
  <c r="J74" i="1"/>
  <c r="J93" i="1"/>
  <c r="J59" i="1"/>
  <c r="J44" i="1"/>
  <c r="J61" i="1"/>
  <c r="J34" i="1"/>
  <c r="J64" i="1"/>
  <c r="J38" i="1"/>
  <c r="J69" i="1"/>
  <c r="J5" i="1"/>
  <c r="J8" i="1"/>
  <c r="J67" i="1"/>
  <c r="J16" i="1"/>
  <c r="J78" i="1"/>
  <c r="J2" i="1"/>
  <c r="J3" i="1"/>
  <c r="J40" i="1"/>
  <c r="J54" i="1"/>
  <c r="J25" i="1"/>
  <c r="J6" i="1"/>
  <c r="J14" i="1"/>
  <c r="J76" i="1"/>
  <c r="J30" i="1"/>
  <c r="J41" i="1"/>
  <c r="J50" i="1"/>
  <c r="J72" i="1"/>
  <c r="J13" i="1"/>
  <c r="J47" i="1"/>
  <c r="J48" i="1"/>
  <c r="J99" i="1"/>
  <c r="J26" i="1"/>
  <c r="J83" i="1"/>
  <c r="J24" i="1"/>
  <c r="J65" i="1"/>
  <c r="J10" i="1"/>
  <c r="J52" i="1"/>
  <c r="J4" i="1"/>
  <c r="J96" i="1"/>
  <c r="J22" i="1"/>
  <c r="J29" i="1"/>
  <c r="J33" i="1"/>
  <c r="J88" i="1"/>
  <c r="J84" i="1"/>
  <c r="J80" i="1"/>
  <c r="J27" i="1"/>
  <c r="J66" i="1"/>
  <c r="J75" i="1"/>
  <c r="J35" i="1"/>
  <c r="J86" i="1"/>
  <c r="J77" i="1"/>
  <c r="J91" i="1"/>
  <c r="J70" i="1"/>
  <c r="J90" i="1"/>
  <c r="J45" i="1"/>
  <c r="J19" i="1"/>
  <c r="J43" i="1"/>
  <c r="J36" i="1"/>
  <c r="J68" i="1"/>
  <c r="J37" i="1"/>
  <c r="J32" i="1"/>
  <c r="J89" i="1"/>
  <c r="J94" i="1"/>
  <c r="J23" i="1"/>
  <c r="I7" i="1"/>
  <c r="I62" i="1"/>
  <c r="I55" i="1"/>
  <c r="I97" i="1"/>
  <c r="I46" i="1"/>
  <c r="I57" i="1"/>
  <c r="I49" i="1"/>
  <c r="I92" i="1"/>
  <c r="I53" i="1"/>
  <c r="I95" i="1"/>
  <c r="I100" i="1"/>
  <c r="I12" i="1"/>
  <c r="I63" i="1"/>
  <c r="I73" i="1"/>
  <c r="I42" i="1"/>
  <c r="I28" i="1"/>
  <c r="I85" i="1"/>
  <c r="I79" i="1"/>
  <c r="I51" i="1"/>
  <c r="I17" i="1"/>
  <c r="I101" i="1"/>
  <c r="I21" i="1"/>
  <c r="I11" i="1"/>
  <c r="I39" i="1"/>
  <c r="I60" i="1"/>
  <c r="I87" i="1"/>
  <c r="I31" i="1"/>
  <c r="I82" i="1"/>
  <c r="I71" i="1"/>
  <c r="I98" i="1"/>
  <c r="I20" i="1"/>
  <c r="I81" i="1"/>
  <c r="I9" i="1"/>
  <c r="I56" i="1"/>
  <c r="I18" i="1"/>
  <c r="I58" i="1"/>
  <c r="I15" i="1"/>
  <c r="I74" i="1"/>
  <c r="I93" i="1"/>
  <c r="I59" i="1"/>
  <c r="I44" i="1"/>
  <c r="I61" i="1"/>
  <c r="I34" i="1"/>
  <c r="I64" i="1"/>
  <c r="I38" i="1"/>
  <c r="I69" i="1"/>
  <c r="I5" i="1"/>
  <c r="I8" i="1"/>
  <c r="I67" i="1"/>
  <c r="I16" i="1"/>
  <c r="I78" i="1"/>
  <c r="I2" i="1"/>
  <c r="I3" i="1"/>
  <c r="I40" i="1"/>
  <c r="I54" i="1"/>
  <c r="I25" i="1"/>
  <c r="I6" i="1"/>
  <c r="I14" i="1"/>
  <c r="I76" i="1"/>
  <c r="I30" i="1"/>
  <c r="I41" i="1"/>
  <c r="I50" i="1"/>
  <c r="I72" i="1"/>
  <c r="I13" i="1"/>
  <c r="I47" i="1"/>
  <c r="I48" i="1"/>
  <c r="I99" i="1"/>
  <c r="I26" i="1"/>
  <c r="I83" i="1"/>
  <c r="I24" i="1"/>
  <c r="I65" i="1"/>
  <c r="I10" i="1"/>
  <c r="I52" i="1"/>
  <c r="I4" i="1"/>
  <c r="I96" i="1"/>
  <c r="I22" i="1"/>
  <c r="I29" i="1"/>
  <c r="I33" i="1"/>
  <c r="I88" i="1"/>
  <c r="I84" i="1"/>
  <c r="I80" i="1"/>
  <c r="I27" i="1"/>
  <c r="I66" i="1"/>
  <c r="I75" i="1"/>
  <c r="I35" i="1"/>
  <c r="I86" i="1"/>
  <c r="I77" i="1"/>
  <c r="I91" i="1"/>
  <c r="I70" i="1"/>
  <c r="I90" i="1"/>
  <c r="I45" i="1"/>
  <c r="I19" i="1"/>
  <c r="I43" i="1"/>
  <c r="I36" i="1"/>
  <c r="I68" i="1"/>
  <c r="I37" i="1"/>
  <c r="I32" i="1"/>
  <c r="I89" i="1"/>
  <c r="I94" i="1"/>
  <c r="I23" i="1"/>
</calcChain>
</file>

<file path=xl/sharedStrings.xml><?xml version="1.0" encoding="utf-8"?>
<sst xmlns="http://schemas.openxmlformats.org/spreadsheetml/2006/main" count="450" uniqueCount="149">
  <si>
    <t>Order ID</t>
  </si>
  <si>
    <t>Order Date</t>
  </si>
  <si>
    <t>Region</t>
  </si>
  <si>
    <t>Product</t>
  </si>
  <si>
    <t>Category</t>
  </si>
  <si>
    <t>Sales</t>
  </si>
  <si>
    <t>Profit</t>
  </si>
  <si>
    <t>Quantity</t>
  </si>
  <si>
    <t>ORD1002</t>
  </si>
  <si>
    <t>South</t>
  </si>
  <si>
    <t>Face Wash</t>
  </si>
  <si>
    <t>Skincare</t>
  </si>
  <si>
    <t>ORD1003</t>
  </si>
  <si>
    <t>Sunscreen</t>
  </si>
  <si>
    <t>ORD1004</t>
  </si>
  <si>
    <t>West</t>
  </si>
  <si>
    <t>Lipstick</t>
  </si>
  <si>
    <t>Makeup</t>
  </si>
  <si>
    <t>ORD1005</t>
  </si>
  <si>
    <t>ORD1006</t>
  </si>
  <si>
    <t>ORD1007</t>
  </si>
  <si>
    <t>Shampoo</t>
  </si>
  <si>
    <t>Haircare</t>
  </si>
  <si>
    <t>ORD1008</t>
  </si>
  <si>
    <t>North</t>
  </si>
  <si>
    <t>ORD1009</t>
  </si>
  <si>
    <t>Mascara</t>
  </si>
  <si>
    <t>ORD1010</t>
  </si>
  <si>
    <t>Perfume</t>
  </si>
  <si>
    <t>Fragrance</t>
  </si>
  <si>
    <t>ORD1011</t>
  </si>
  <si>
    <t>Conditioner</t>
  </si>
  <si>
    <t>ORD1012</t>
  </si>
  <si>
    <t>ORD1013</t>
  </si>
  <si>
    <t>ORD1014</t>
  </si>
  <si>
    <t>ORD1015</t>
  </si>
  <si>
    <t>ORD1016</t>
  </si>
  <si>
    <t>ORD1017</t>
  </si>
  <si>
    <t>East</t>
  </si>
  <si>
    <t>ORD1018</t>
  </si>
  <si>
    <t>ORD1019</t>
  </si>
  <si>
    <t>Foundation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</si>
  <si>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</si>
  <si>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</si>
  <si>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</si>
  <si>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</si>
  <si>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</si>
  <si>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</si>
  <si>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</si>
  <si>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</si>
  <si>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</si>
  <si>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</si>
  <si>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</si>
  <si>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</si>
  <si>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</si>
  <si>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</si>
  <si>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</si>
  <si>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</si>
  <si>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</si>
  <si>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</si>
  <si>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</si>
  <si>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</si>
  <si>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</si>
  <si>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</si>
  <si>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</si>
  <si>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</si>
  <si>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</si>
  <si>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</si>
  <si>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</si>
  <si>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</si>
  <si>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</si>
  <si>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</si>
  <si>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</si>
  <si>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</si>
  <si>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</si>
  <si>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</si>
  <si>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</si>
  <si>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</si>
  <si>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</si>
  <si>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</si>
  <si>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</si>
  <si>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</si>
  <si>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</si>
  <si>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</si>
  <si>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</si>
  <si>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</si>
  <si>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</si>
  <si>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</si>
  <si>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</si>
  <si>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</si>
  <si>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</si>
  <si>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</si>
  <si>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</si>
  <si>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</si>
  <si>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</si>
  <si>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</si>
  <si>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</si>
  <si>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</si>
  <si>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</si>
  <si>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</si>
  <si>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</si>
  <si>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</si>
  <si>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</si>
  <si>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</si>
  <si>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</si>
  <si>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</si>
  <si>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</si>
  <si>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</si>
  <si>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</si>
  <si>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</si>
  <si>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</si>
  <si>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</si>
  <si>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</si>
  <si>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</si>
  <si>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</si>
  <si>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</si>
  <si>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</si>
  <si>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</si>
  <si>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</si>
  <si>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</si>
  <si>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</si>
  <si>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</si>
  <si>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</si>
  <si>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</si>
  <si>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Profit margin</t>
  </si>
  <si>
    <t>Sales Category</t>
  </si>
  <si>
    <t>Total Sales</t>
  </si>
  <si>
    <t>Total Profit</t>
  </si>
  <si>
    <t>Average  Profit margin</t>
  </si>
  <si>
    <t>Total Quantity Sold</t>
  </si>
  <si>
    <t>(blank)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</si>
  <si>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</si>
  <si>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</si>
  <si>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</si>
  <si>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</si>
  <si>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</si>
  <si>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</si>
  <si>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</si>
  <si>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</si>
  <si>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</si>
  <si>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</si>
  <si>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</si>
  <si>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</si>
  <si>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</si>
  <si>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.</t>
  </si>
  <si>
    <t>Month</t>
  </si>
  <si>
    <t>Profit Acc. to region</t>
  </si>
  <si>
    <t xml:space="preserve"> Sales</t>
  </si>
  <si>
    <t xml:space="preserve">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</si>
</sst>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Black"/>
      <family val="2"/>
    </font>
    <font>
      <b/>
      <sz val="10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1" applyFont="1"/>
    <xf numFmtId="14" fontId="0" fillId="0" borderId="0" xfId="0" applyNumberFormat="1"/>
    <xf numFmtId="2" fontId="0" fillId="0" borderId="0" xfId="0" applyNumberFormat="1"/>
    <xf numFmtId="9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12">
    <dxf>
      <font>
        <b/>
        <i val="0"/>
      </font>
      <fill>
        <gradientFill degree="90">
          <stop position="0">
            <color rgb="FFFFFF00"/>
          </stop>
          <stop position="1">
            <color theme="4"/>
          </stop>
        </gradientFill>
      </fill>
      <border>
        <vertical/>
        <horizontal/>
      </border>
    </dxf>
    <dxf>
      <font>
        <sz val="10"/>
      </font>
    </dxf>
    <dxf>
      <font>
        <name val="Arial Black"/>
        <scheme val="none"/>
      </font>
    </dxf>
    <dxf>
      <font>
        <sz val="10"/>
      </font>
    </dxf>
    <dxf>
      <font>
        <name val="Arial Black"/>
        <scheme val="none"/>
      </font>
    </dxf>
    <dxf>
      <font>
        <sz val="10"/>
      </font>
    </dxf>
    <dxf>
      <font>
        <name val="Arial Black"/>
        <scheme val="none"/>
      </font>
    </dxf>
    <dxf>
      <font>
        <b/>
      </font>
    </dxf>
    <dxf>
      <font>
        <sz val="10"/>
      </font>
    </dxf>
    <dxf>
      <font>
        <name val="Arial Black"/>
        <scheme val="none"/>
      </font>
    </dxf>
    <dxf>
      <numFmt numFmtId="13" formatCode="0%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[kT2(AutoRecovered).xlsx]Sheet1!PivotTable2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Sheet1!$A$11:$A$24</c:f>
              <c:strCache>
                <c:ptCount val="13"/>
                <c:pt idx="0">
                  <c:v>.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Sheet1!$B$11:$B$24</c:f>
              <c:numCache>
                <c:formatCode>General</c:formatCode>
                <c:ptCount val="13"/>
                <c:pt idx="1">
                  <c:v>12090.73</c:v>
                </c:pt>
                <c:pt idx="2">
                  <c:v>15465.720000000001</c:v>
                </c:pt>
                <c:pt idx="3">
                  <c:v>30671.940000000002</c:v>
                </c:pt>
                <c:pt idx="4">
                  <c:v>20506.21</c:v>
                </c:pt>
                <c:pt idx="5">
                  <c:v>22486.09</c:v>
                </c:pt>
                <c:pt idx="6">
                  <c:v>30225.32</c:v>
                </c:pt>
                <c:pt idx="7">
                  <c:v>12683.890000000003</c:v>
                </c:pt>
                <c:pt idx="8">
                  <c:v>40633.05999999999</c:v>
                </c:pt>
                <c:pt idx="9">
                  <c:v>22509.629999999997</c:v>
                </c:pt>
                <c:pt idx="10">
                  <c:v>13116.800000000001</c:v>
                </c:pt>
                <c:pt idx="11">
                  <c:v>29391.96</c:v>
                </c:pt>
                <c:pt idx="12">
                  <c:v>14030.43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4-44B8-A219-BE87AC5AB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779903"/>
        <c:axId val="1204789983"/>
      </c:barChart>
      <c:catAx>
        <c:axId val="120477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89983"/>
        <c:crosses val="autoZero"/>
        <c:auto val="1"/>
        <c:lblAlgn val="ctr"/>
        <c:lblOffset val="100"/>
        <c:noMultiLvlLbl val="0"/>
      </c:catAx>
      <c:valAx>
        <c:axId val="120478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79903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[kT2(AutoRecovered).xlsx]Sheet1!PivotTable3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7374715660542431"/>
          <c:y val="0.1892107757363663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Sheet1!$B$29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D4-4134-AB0A-93ACE5E926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D4-4134-AB0A-93ACE5E926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D4-4134-AB0A-93ACE5E926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D4-4134-AB0A-93ACE5E926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BD4-4134-AB0A-93ACE5E9261B}"/>
              </c:ext>
            </c:extLst>
          </c:dPt>
          <c:cat>
            <c:strRef>
              <c:f>Sheet1!$A$30:$A$35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Sheet1!$B$30:$B$35</c:f>
              <c:numCache>
                <c:formatCode>General</c:formatCode>
                <c:ptCount val="5"/>
                <c:pt idx="0">
                  <c:v>9874.3999999999978</c:v>
                </c:pt>
                <c:pt idx="1">
                  <c:v>19003.11</c:v>
                </c:pt>
                <c:pt idx="2">
                  <c:v>13390.199999999999</c:v>
                </c:pt>
                <c:pt idx="3">
                  <c:v>11221.939999999999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0-4C7E-BCCE-73ED613EE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[kT2(AutoRecovered).xlsx]Sheet1!PivotTable4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24759405074366"/>
          <c:y val="0.24476633129192185"/>
          <c:w val="0.70925196850393701"/>
          <c:h val="0.411070282881306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Sheet1!$A$47:$A$56</c:f>
              <c:strCache>
                <c:ptCount val="9"/>
                <c:pt idx="0">
                  <c:v>.</c:v>
                </c:pt>
                <c:pt idx="1">
                  <c:v>Mascara</c:v>
                </c:pt>
                <c:pt idx="2">
                  <c:v>Perfume</c:v>
                </c:pt>
                <c:pt idx="3">
                  <c:v>Sunscreen</c:v>
                </c:pt>
                <c:pt idx="4">
                  <c:v>Face Wash</c:v>
                </c:pt>
                <c:pt idx="5">
                  <c:v>Conditioner</c:v>
                </c:pt>
                <c:pt idx="6">
                  <c:v>Foundation</c:v>
                </c:pt>
                <c:pt idx="7">
                  <c:v>Lipstick</c:v>
                </c:pt>
                <c:pt idx="8">
                  <c:v>Shampoo</c:v>
                </c:pt>
              </c:strCache>
            </c:strRef>
          </c:cat>
          <c:val>
            <c:numRef>
              <c:f>Sheet1!$B$47:$B$56</c:f>
              <c:numCache>
                <c:formatCode>General</c:formatCode>
                <c:ptCount val="9"/>
                <c:pt idx="1">
                  <c:v>20947.98</c:v>
                </c:pt>
                <c:pt idx="2">
                  <c:v>22998.519999999997</c:v>
                </c:pt>
                <c:pt idx="3">
                  <c:v>26002.570000000003</c:v>
                </c:pt>
                <c:pt idx="4">
                  <c:v>31745.210000000006</c:v>
                </c:pt>
                <c:pt idx="5">
                  <c:v>34963.64</c:v>
                </c:pt>
                <c:pt idx="6">
                  <c:v>35800</c:v>
                </c:pt>
                <c:pt idx="7">
                  <c:v>39835.14</c:v>
                </c:pt>
                <c:pt idx="8">
                  <c:v>51518.720000000001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4-4B27-8382-9BC455E68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9353519"/>
        <c:axId val="1089356879"/>
      </c:barChart>
      <c:catAx>
        <c:axId val="108935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356879"/>
        <c:crosses val="autoZero"/>
        <c:auto val="1"/>
        <c:lblAlgn val="ctr"/>
        <c:lblOffset val="100"/>
        <c:noMultiLvlLbl val="0"/>
      </c:catAx>
      <c:valAx>
        <c:axId val="108935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35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1661160</xdr:colOff>
      <xdr:row>8</xdr:row>
      <xdr:rowOff>175260</xdr:rowOff>
    </xdr:from>
    <xdr:to>
      <xdr:col>9</xdr:col>
      <xdr:colOff>53340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6DE77A-4F47-7184-1E60-6CD745608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1661160</xdr:colOff>
      <xdr:row>26</xdr:row>
      <xdr:rowOff>160020</xdr:rowOff>
    </xdr:from>
    <xdr:to>
      <xdr:col>9</xdr:col>
      <xdr:colOff>53340</xdr:colOff>
      <xdr:row>41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83DBF2-82DD-9524-0DBF-658B88295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1645920</xdr:colOff>
      <xdr:row>44</xdr:row>
      <xdr:rowOff>137160</xdr:rowOff>
    </xdr:from>
    <xdr:to>
      <xdr:col>9</xdr:col>
      <xdr:colOff>38100</xdr:colOff>
      <xdr:row>59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9E6B11-0881-5D2E-C2E5-5ECF883DA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4.036259259257" createdVersion="8" refreshedVersion="8" minRefreshableVersion="3" recordCount="102" xr:uid="{7457ACEE-3C31-4ABF-9968-F036C33C21DA}">
  <cacheSource type="worksheet">
    <worksheetSource ref="A1:J1048576" sheet="SalesData"/>
  </cacheSource>
  <cacheFields count="12">
    <cacheField name="Order ID" numFmtId="0">
      <sharedItems containsBlank="1"/>
    </cacheField>
    <cacheField name="Order Date" numFmtId="0">
      <sharedItems containsNonDate="0" containsDate="1" containsString="0" containsBlank="1" minDate="2025-01-04T00:00:00" maxDate="2025-12-30T00:00:00" count="91">
        <d v="2025-01-04T00:00:00"/>
        <d v="2025-01-09T00:00:00"/>
        <d v="2025-01-15T00:00:00"/>
        <d v="2025-01-19T00:00:00"/>
        <d v="2025-02-07T00:00:00"/>
        <d v="2025-02-09T00:00:00"/>
        <d v="2025-02-17T00:00:00"/>
        <d v="2025-02-28T00:00:00"/>
        <d v="2025-03-03T00:00:00"/>
        <d v="2025-03-04T00:00:00"/>
        <d v="2025-03-05T00:00:00"/>
        <d v="2025-03-07T00:00:00"/>
        <d v="2025-03-09T00:00:00"/>
        <d v="2025-03-10T00:00:00"/>
        <d v="2025-03-11T00:00:00"/>
        <d v="2025-03-16T00:00:00"/>
        <d v="2025-03-18T00:00:00"/>
        <d v="2025-03-29T00:00:00"/>
        <d v="2025-04-02T00:00:00"/>
        <d v="2025-04-06T00:00:00"/>
        <d v="2025-04-08T00:00:00"/>
        <d v="2025-04-14T00:00:00"/>
        <d v="2025-04-16T00:00:00"/>
        <d v="2025-04-17T00:00:00"/>
        <d v="2025-04-20T00:00:00"/>
        <d v="2025-04-26T00:00:00"/>
        <d v="2025-04-30T00:00:00"/>
        <d v="2025-05-01T00:00:00"/>
        <d v="2025-05-04T00:00:00"/>
        <d v="2025-05-05T00:00:00"/>
        <d v="2025-05-09T00:00:00"/>
        <d v="2025-05-11T00:00:00"/>
        <d v="2025-05-21T00:00:00"/>
        <d v="2025-05-23T00:00:00"/>
        <d v="2025-05-31T00:00:00"/>
        <d v="2025-06-07T00:00:00"/>
        <d v="2025-06-08T00:00:00"/>
        <d v="2025-06-09T00:00:00"/>
        <d v="2025-06-12T00:00:00"/>
        <d v="2025-06-14T00:00:00"/>
        <d v="2025-06-21T00:00:00"/>
        <d v="2025-06-23T00:00:00"/>
        <d v="2025-06-27T00:00:00"/>
        <d v="2025-07-14T00:00:00"/>
        <d v="2025-07-15T00:00:00"/>
        <d v="2025-07-19T00:00:00"/>
        <d v="2025-07-23T00:00:00"/>
        <d v="2025-07-24T00:00:00"/>
        <d v="2025-07-28T00:00:00"/>
        <d v="2025-07-31T00:00:00"/>
        <d v="2025-08-03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3T00:00:00"/>
        <d v="2025-08-25T00:00:00"/>
        <d v="2025-08-26T00:00:00"/>
        <d v="2025-08-28T00:00:00"/>
        <d v="2025-08-29T00:00:00"/>
        <d v="2025-09-07T00:00:00"/>
        <d v="2025-09-08T00:00:00"/>
        <d v="2025-09-19T00:00:00"/>
        <d v="2025-09-25T00:00:00"/>
        <d v="2025-09-27T00:00:00"/>
        <d v="2025-09-30T00:00:00"/>
        <d v="2025-10-03T00:00:00"/>
        <d v="2025-10-13T00:00:00"/>
        <d v="2025-10-16T00:00:00"/>
        <d v="2025-10-17T00:00:00"/>
        <d v="2025-10-18T00:00:00"/>
        <d v="2025-10-27T00:00:00"/>
        <d v="2025-10-29T00:00:00"/>
        <d v="2025-10-30T00:00:00"/>
        <d v="2025-11-03T00:00:00"/>
        <d v="2025-11-06T00:00:00"/>
        <d v="2025-11-07T00:00:00"/>
        <d v="2025-11-08T00:00:00"/>
        <d v="2025-11-12T00:00:00"/>
        <d v="2025-11-14T00:00:00"/>
        <d v="2025-11-18T00:00:00"/>
        <d v="2025-11-20T00:00:00"/>
        <d v="2025-11-24T00:00:00"/>
        <d v="2025-11-25T00:00:00"/>
        <d v="2025-12-15T00:00:00"/>
        <d v="2025-12-27T00:00:00"/>
        <d v="2025-12-29T00:00:00"/>
        <m/>
      </sharedItems>
      <fieldGroup par="11"/>
    </cacheField>
    <cacheField name="Region" numFmtId="0">
      <sharedItems containsBlank="1" count="5">
        <s v="East"/>
        <s v="South"/>
        <s v="West"/>
        <s v="North"/>
        <m/>
      </sharedItems>
    </cacheField>
    <cacheField name="Product" numFmtId="0">
      <sharedItems containsBlank="1" count="9">
        <s v="Foundation"/>
        <s v="Conditioner"/>
        <s v="Shampoo"/>
        <s v="Sunscreen"/>
        <s v="Lipstick"/>
        <s v="Face Wash"/>
        <s v="Mascara"/>
        <s v="Perfume"/>
        <m/>
      </sharedItems>
    </cacheField>
    <cacheField name="Category" numFmtId="0">
      <sharedItems containsBlank="1"/>
    </cacheField>
    <cacheField name="Sales" numFmtId="0">
      <sharedItems containsString="0" containsBlank="1" containsNumber="1" minValue="218.79" maxValue="4955.8"/>
    </cacheField>
    <cacheField name="Profit" numFmtId="0">
      <sharedItems containsString="0" containsBlank="1" containsNumber="1" minValue="46.91" maxValue="1533.32"/>
    </cacheField>
    <cacheField name="Quantity" numFmtId="0">
      <sharedItems containsString="0" containsBlank="1" containsNumber="1" containsInteger="1" minValue="1" maxValue="10"/>
    </cacheField>
    <cacheField name="Profit margin" numFmtId="0">
      <sharedItems containsString="0" containsBlank="1" containsNumber="1" minValue="8.5566588151295503E-2" maxValue="0.34934408166235276"/>
    </cacheField>
    <cacheField name="Sales Category" numFmtId="0">
      <sharedItems containsBlank="1"/>
    </cacheField>
    <cacheField name="Days (Order Date)" numFmtId="0" databaseField="0">
      <fieldGroup base="1">
        <rangePr groupBy="days" startDate="2025-01-04T00:00:00" endDate="2025-12-30T00:00:00"/>
        <groupItems count="368">
          <s v="&lt;04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12-2025"/>
        </groupItems>
      </fieldGroup>
    </cacheField>
    <cacheField name="Months (Order Date)" numFmtId="0" databaseField="0">
      <fieldGroup base="1">
        <rangePr groupBy="months" startDate="2025-01-04T00:00:00" endDate="2025-12-30T00:00:00"/>
        <groupItems count="14">
          <s v="&lt;04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s v="ORD1054"/>
    <x v="0"/>
    <x v="0"/>
    <x v="0"/>
    <s v="Makeup"/>
    <n v="2352.08"/>
    <n v="723.08"/>
    <n v="3"/>
    <n v="0.30742151627495667"/>
    <s v="High"/>
  </r>
  <r>
    <s v="ORD1055"/>
    <x v="1"/>
    <x v="1"/>
    <x v="1"/>
    <s v="Haircare"/>
    <n v="3199.09"/>
    <n v="416.03"/>
    <n v="6"/>
    <n v="0.13004635693275274"/>
    <s v="High"/>
  </r>
  <r>
    <s v="ORD1076"/>
    <x v="2"/>
    <x v="0"/>
    <x v="1"/>
    <s v="Haircare"/>
    <n v="3023.61"/>
    <n v="568.30999999999995"/>
    <n v="5"/>
    <n v="0.18795744160126468"/>
    <s v="High"/>
  </r>
  <r>
    <s v="ORD1049"/>
    <x v="3"/>
    <x v="0"/>
    <x v="2"/>
    <s v="Haircare"/>
    <n v="3515.95"/>
    <n v="986.69"/>
    <n v="4"/>
    <n v="0.28063254596908377"/>
    <s v="High"/>
  </r>
  <r>
    <s v="ORD1059"/>
    <x v="4"/>
    <x v="2"/>
    <x v="1"/>
    <s v="Haircare"/>
    <n v="4640.37"/>
    <n v="976.19"/>
    <n v="9"/>
    <n v="0.21036900074778522"/>
    <s v="High"/>
  </r>
  <r>
    <s v="ORD1003"/>
    <x v="5"/>
    <x v="1"/>
    <x v="3"/>
    <s v="Skincare"/>
    <n v="1402.34"/>
    <n v="372.86"/>
    <n v="6"/>
    <n v="0.26588416503843576"/>
    <s v="Medium"/>
  </r>
  <r>
    <s v="ORD1050"/>
    <x v="6"/>
    <x v="3"/>
    <x v="4"/>
    <s v="Makeup"/>
    <n v="4467.21"/>
    <n v="800.37"/>
    <n v="10"/>
    <n v="0.17916551941816033"/>
    <s v="High"/>
  </r>
  <r>
    <s v="ORD1035"/>
    <x v="7"/>
    <x v="2"/>
    <x v="4"/>
    <s v="Makeup"/>
    <n v="4955.8"/>
    <n v="686.5"/>
    <n v="9"/>
    <n v="0.1385245570846281"/>
    <s v="High"/>
  </r>
  <r>
    <s v="ORD1074"/>
    <x v="8"/>
    <x v="3"/>
    <x v="5"/>
    <s v="Skincare"/>
    <n v="4419.1000000000004"/>
    <n v="1246.19"/>
    <n v="6"/>
    <n v="0.28200085990360024"/>
    <s v="High"/>
  </r>
  <r>
    <s v="ORD1025"/>
    <x v="9"/>
    <x v="3"/>
    <x v="2"/>
    <s v="Haircare"/>
    <n v="4454.6499999999996"/>
    <n v="1333.85"/>
    <n v="1"/>
    <n v="0.29942868687775698"/>
    <s v="High"/>
  </r>
  <r>
    <s v="ORD1014"/>
    <x v="10"/>
    <x v="1"/>
    <x v="2"/>
    <s v="Haircare"/>
    <n v="3412.46"/>
    <n v="426.07"/>
    <n v="8"/>
    <n v="0.12485714118260727"/>
    <s v="High"/>
  </r>
  <r>
    <s v="ORD1066"/>
    <x v="11"/>
    <x v="0"/>
    <x v="4"/>
    <s v="Makeup"/>
    <n v="1827.96"/>
    <n v="190.96"/>
    <n v="1"/>
    <n v="0.1044661808792315"/>
    <s v="High"/>
  </r>
  <r>
    <s v="ORD1060"/>
    <x v="12"/>
    <x v="3"/>
    <x v="6"/>
    <s v="Makeup"/>
    <n v="1456.78"/>
    <n v="167.85"/>
    <n v="2"/>
    <n v="0.11521986847705212"/>
    <s v="Medium"/>
  </r>
  <r>
    <s v="ORD1039"/>
    <x v="13"/>
    <x v="1"/>
    <x v="7"/>
    <s v="Fragrance"/>
    <n v="1731.03"/>
    <n v="376.52"/>
    <n v="5"/>
    <n v="0.21751211706325135"/>
    <s v="High"/>
  </r>
  <r>
    <s v="ORD1052"/>
    <x v="13"/>
    <x v="1"/>
    <x v="4"/>
    <s v="Makeup"/>
    <n v="2110.64"/>
    <n v="485.71"/>
    <n v="10"/>
    <n v="0.2301245119963613"/>
    <s v="High"/>
  </r>
  <r>
    <s v="ORD1022"/>
    <x v="14"/>
    <x v="2"/>
    <x v="6"/>
    <s v="Makeup"/>
    <n v="218.79"/>
    <n v="68.95"/>
    <n v="1"/>
    <n v="0.31514237396590339"/>
    <s v="Medium"/>
  </r>
  <r>
    <s v="ORD1037"/>
    <x v="15"/>
    <x v="3"/>
    <x v="7"/>
    <s v="Fragrance"/>
    <n v="2484.39"/>
    <n v="551.76"/>
    <n v="10"/>
    <n v="0.22209073454650841"/>
    <s v="High"/>
  </r>
  <r>
    <s v="ORD1094"/>
    <x v="15"/>
    <x v="3"/>
    <x v="6"/>
    <s v="Makeup"/>
    <n v="1407.48"/>
    <n v="230.49"/>
    <n v="5"/>
    <n v="0.16376076391849262"/>
    <s v="Medium"/>
  </r>
  <r>
    <s v="ORD1033"/>
    <x v="16"/>
    <x v="0"/>
    <x v="3"/>
    <s v="Skincare"/>
    <n v="1657.08"/>
    <n v="287.44"/>
    <n v="9"/>
    <n v="0.17346175199748956"/>
    <s v="High"/>
  </r>
  <r>
    <s v="ORD1024"/>
    <x v="17"/>
    <x v="2"/>
    <x v="2"/>
    <s v="Haircare"/>
    <n v="4661.5600000000004"/>
    <n v="604.99"/>
    <n v="4"/>
    <n v="0.12978273367713811"/>
    <s v="High"/>
  </r>
  <r>
    <s v="ORD1078"/>
    <x v="17"/>
    <x v="3"/>
    <x v="3"/>
    <s v="Skincare"/>
    <n v="830.02"/>
    <n v="78.540000000000006"/>
    <n v="1"/>
    <n v="9.462422592226695E-2"/>
    <s v="Medium"/>
  </r>
  <r>
    <s v="ORD1002"/>
    <x v="18"/>
    <x v="1"/>
    <x v="5"/>
    <s v="Skincare"/>
    <n v="1302.6400000000001"/>
    <n v="266.63"/>
    <n v="3"/>
    <n v="0.20468433335380457"/>
    <s v="Medium"/>
  </r>
  <r>
    <s v="ORD1072"/>
    <x v="19"/>
    <x v="1"/>
    <x v="5"/>
    <s v="Skincare"/>
    <n v="2226.09"/>
    <n v="437.18"/>
    <n v="7"/>
    <n v="0.19638918462416163"/>
    <s v="High"/>
  </r>
  <r>
    <s v="ORD1058"/>
    <x v="20"/>
    <x v="1"/>
    <x v="1"/>
    <s v="Haircare"/>
    <n v="3887.44"/>
    <n v="869.35"/>
    <n v="1"/>
    <n v="0.22363046117753585"/>
    <s v="High"/>
  </r>
  <r>
    <s v="ORD1070"/>
    <x v="21"/>
    <x v="3"/>
    <x v="4"/>
    <s v="Makeup"/>
    <n v="3749.75"/>
    <n v="997.76"/>
    <n v="9"/>
    <n v="0.2660870724714981"/>
    <s v="High"/>
  </r>
  <r>
    <s v="ORD1084"/>
    <x v="22"/>
    <x v="1"/>
    <x v="7"/>
    <s v="Fragrance"/>
    <n v="1838.93"/>
    <n v="539.29999999999995"/>
    <n v="10"/>
    <n v="0.29326836801835848"/>
    <s v="High"/>
  </r>
  <r>
    <s v="ORD1018"/>
    <x v="23"/>
    <x v="2"/>
    <x v="7"/>
    <s v="Fragrance"/>
    <n v="3260.75"/>
    <n v="376.29"/>
    <n v="2"/>
    <n v="0.11539983132714866"/>
    <s v="High"/>
  </r>
  <r>
    <s v="ORD1079"/>
    <x v="24"/>
    <x v="2"/>
    <x v="7"/>
    <s v="Fragrance"/>
    <n v="241.11"/>
    <n v="46.91"/>
    <n v="5"/>
    <n v="0.19455850026958646"/>
    <s v="Medium"/>
  </r>
  <r>
    <s v="ORD1062"/>
    <x v="25"/>
    <x v="2"/>
    <x v="3"/>
    <s v="Skincare"/>
    <n v="1630.92"/>
    <n v="315.01"/>
    <n v="9"/>
    <n v="0.1931486522944105"/>
    <s v="High"/>
  </r>
  <r>
    <s v="ORD1029"/>
    <x v="26"/>
    <x v="0"/>
    <x v="7"/>
    <s v="Fragrance"/>
    <n v="2368.58"/>
    <n v="748.89"/>
    <n v="6"/>
    <n v="0.31617678102491786"/>
    <s v="High"/>
  </r>
  <r>
    <s v="ORD1099"/>
    <x v="27"/>
    <x v="1"/>
    <x v="5"/>
    <s v="Skincare"/>
    <n v="592.99"/>
    <n v="84.93"/>
    <n v="3"/>
    <n v="0.1432233258570971"/>
    <s v="Medium"/>
  </r>
  <r>
    <s v="ORD1080"/>
    <x v="28"/>
    <x v="0"/>
    <x v="2"/>
    <s v="Haircare"/>
    <n v="2697.34"/>
    <n v="659.84"/>
    <n v="1"/>
    <n v="0.24462618728080257"/>
    <s v="High"/>
  </r>
  <r>
    <s v="ORD1045"/>
    <x v="29"/>
    <x v="2"/>
    <x v="5"/>
    <s v="Skincare"/>
    <n v="1493.45"/>
    <n v="359.58"/>
    <n v="3"/>
    <n v="0.24077136830827947"/>
    <s v="Medium"/>
  </r>
  <r>
    <s v="ORD1087"/>
    <x v="30"/>
    <x v="3"/>
    <x v="1"/>
    <s v="Haircare"/>
    <n v="4862.24"/>
    <n v="505.41"/>
    <n v="1"/>
    <n v="0.10394591793083025"/>
    <s v="High"/>
  </r>
  <r>
    <s v="ORD1096"/>
    <x v="31"/>
    <x v="3"/>
    <x v="1"/>
    <s v="Haircare"/>
    <n v="404.45"/>
    <n v="109.96"/>
    <n v="7"/>
    <n v="0.27187538632711089"/>
    <s v="Medium"/>
  </r>
  <r>
    <s v="ORD1098"/>
    <x v="31"/>
    <x v="3"/>
    <x v="6"/>
    <s v="Makeup"/>
    <n v="4246.9399999999996"/>
    <n v="1352.08"/>
    <n v="5"/>
    <n v="0.31836569388783453"/>
    <s v="High"/>
  </r>
  <r>
    <s v="ORD1047"/>
    <x v="32"/>
    <x v="3"/>
    <x v="3"/>
    <s v="Skincare"/>
    <n v="3991.2"/>
    <n v="1352.09"/>
    <n v="7"/>
    <n v="0.3387677891360994"/>
    <s v="High"/>
  </r>
  <r>
    <s v="ORD1026"/>
    <x v="33"/>
    <x v="0"/>
    <x v="5"/>
    <s v="Skincare"/>
    <n v="2482.84"/>
    <n v="442.65"/>
    <n v="3"/>
    <n v="0.17828373958853569"/>
    <s v="High"/>
  </r>
  <r>
    <s v="ORD1056"/>
    <x v="34"/>
    <x v="2"/>
    <x v="2"/>
    <s v="Haircare"/>
    <n v="1714.64"/>
    <n v="160.88999999999999"/>
    <n v="5"/>
    <n v="9.383310782438295E-2"/>
    <s v="High"/>
  </r>
  <r>
    <s v="ORD1063"/>
    <x v="35"/>
    <x v="2"/>
    <x v="3"/>
    <s v="Skincare"/>
    <n v="4052.99"/>
    <n v="438.99"/>
    <n v="10"/>
    <n v="0.10831262845454838"/>
    <s v="High"/>
  </r>
  <r>
    <s v="ORD1017"/>
    <x v="36"/>
    <x v="0"/>
    <x v="6"/>
    <s v="Makeup"/>
    <n v="1351.41"/>
    <n v="122.44"/>
    <n v="6"/>
    <n v="9.0601667887613674E-2"/>
    <s v="Medium"/>
  </r>
  <r>
    <s v="ORD1095"/>
    <x v="37"/>
    <x v="3"/>
    <x v="2"/>
    <s v="Haircare"/>
    <n v="4376.17"/>
    <n v="681.19"/>
    <n v="8"/>
    <n v="0.15565894377960637"/>
    <s v="High"/>
  </r>
  <r>
    <s v="ORD1043"/>
    <x v="38"/>
    <x v="2"/>
    <x v="1"/>
    <s v="Haircare"/>
    <n v="1732.83"/>
    <n v="579.58000000000004"/>
    <n v="5"/>
    <n v="0.33447020192402027"/>
    <s v="High"/>
  </r>
  <r>
    <s v="ORD1093"/>
    <x v="39"/>
    <x v="3"/>
    <x v="5"/>
    <s v="Skincare"/>
    <n v="3372.28"/>
    <n v="310.3"/>
    <n v="6"/>
    <n v="9.2014897932556017E-2"/>
    <s v="High"/>
  </r>
  <r>
    <s v="ORD1007"/>
    <x v="40"/>
    <x v="1"/>
    <x v="2"/>
    <s v="Haircare"/>
    <n v="2297.1999999999998"/>
    <n v="276.75"/>
    <n v="7"/>
    <n v="0.1204727494340937"/>
    <s v="High"/>
  </r>
  <r>
    <s v="ORD1067"/>
    <x v="41"/>
    <x v="1"/>
    <x v="2"/>
    <s v="Haircare"/>
    <n v="3848.04"/>
    <n v="1344.29"/>
    <n v="2"/>
    <n v="0.34934408166235276"/>
    <s v="High"/>
  </r>
  <r>
    <s v="ORD1068"/>
    <x v="41"/>
    <x v="1"/>
    <x v="7"/>
    <s v="Fragrance"/>
    <n v="3529.46"/>
    <n v="771.28"/>
    <n v="7"/>
    <n v="0.21852634680659364"/>
    <s v="High"/>
  </r>
  <r>
    <s v="ORD1009"/>
    <x v="42"/>
    <x v="3"/>
    <x v="6"/>
    <s v="Makeup"/>
    <n v="4859.5200000000004"/>
    <n v="1533.32"/>
    <n v="7"/>
    <n v="0.31552910575530091"/>
    <s v="High"/>
  </r>
  <r>
    <s v="ORD1064"/>
    <x v="42"/>
    <x v="1"/>
    <x v="0"/>
    <s v="Makeup"/>
    <n v="805.42"/>
    <n v="271.35000000000002"/>
    <n v="5"/>
    <n v="0.33690496883613524"/>
    <s v="Medium"/>
  </r>
  <r>
    <s v="ORD1021"/>
    <x v="43"/>
    <x v="0"/>
    <x v="2"/>
    <s v="Haircare"/>
    <n v="614.98"/>
    <n v="168.07"/>
    <n v="2"/>
    <n v="0.27329344043708736"/>
    <s v="Medium"/>
  </r>
  <r>
    <s v="ORD1075"/>
    <x v="43"/>
    <x v="3"/>
    <x v="0"/>
    <s v="Makeup"/>
    <n v="1787.44"/>
    <n v="261.69"/>
    <n v="7"/>
    <n v="0.14640491429082933"/>
    <s v="High"/>
  </r>
  <r>
    <s v="ORD1011"/>
    <x v="44"/>
    <x v="3"/>
    <x v="1"/>
    <s v="Haircare"/>
    <n v="1937.95"/>
    <n v="449.01"/>
    <n v="2"/>
    <n v="0.2316932841404577"/>
    <s v="High"/>
  </r>
  <r>
    <s v="ORD1057"/>
    <x v="45"/>
    <x v="3"/>
    <x v="2"/>
    <s v="Haircare"/>
    <n v="3358.4"/>
    <n v="832.25"/>
    <n v="4"/>
    <n v="0.24781145783706526"/>
    <s v="High"/>
  </r>
  <r>
    <s v="ORD1005"/>
    <x v="46"/>
    <x v="2"/>
    <x v="3"/>
    <s v="Skincare"/>
    <n v="649.28"/>
    <n v="194.98"/>
    <n v="2"/>
    <n v="0.30030187284376542"/>
    <s v="Medium"/>
  </r>
  <r>
    <s v="ORD1036"/>
    <x v="47"/>
    <x v="1"/>
    <x v="5"/>
    <s v="Skincare"/>
    <n v="1095.1199999999999"/>
    <n v="200.99"/>
    <n v="5"/>
    <n v="0.18353239827598805"/>
    <s v="Medium"/>
  </r>
  <r>
    <s v="ORD1008"/>
    <x v="48"/>
    <x v="3"/>
    <x v="5"/>
    <s v="Skincare"/>
    <n v="2345.7600000000002"/>
    <n v="490.63"/>
    <n v="10"/>
    <n v="0.2091560944001091"/>
    <s v="High"/>
  </r>
  <r>
    <s v="ORD1038"/>
    <x v="49"/>
    <x v="2"/>
    <x v="4"/>
    <s v="Makeup"/>
    <n v="894.96"/>
    <n v="208.27"/>
    <n v="1"/>
    <n v="0.23271431125413428"/>
    <s v="Medium"/>
  </r>
  <r>
    <s v="ORD1042"/>
    <x v="50"/>
    <x v="1"/>
    <x v="1"/>
    <s v="Haircare"/>
    <n v="1202.7"/>
    <n v="341.06"/>
    <n v="6"/>
    <n v="0.28357861478340401"/>
    <s v="Medium"/>
  </r>
  <r>
    <s v="ORD1027"/>
    <x v="51"/>
    <x v="1"/>
    <x v="0"/>
    <s v="Makeup"/>
    <n v="4815.47"/>
    <n v="422.42"/>
    <n v="4"/>
    <n v="8.7721447750686854E-2"/>
    <s v="High"/>
  </r>
  <r>
    <s v="ORD1044"/>
    <x v="52"/>
    <x v="0"/>
    <x v="5"/>
    <s v="Skincare"/>
    <n v="3251.64"/>
    <n v="346.12"/>
    <n v="9"/>
    <n v="0.10644474788106925"/>
    <s v="High"/>
  </r>
  <r>
    <s v="ORD1004"/>
    <x v="53"/>
    <x v="2"/>
    <x v="4"/>
    <s v="Makeup"/>
    <n v="3582.18"/>
    <n v="605.36"/>
    <n v="1"/>
    <n v="0.16899206628365968"/>
    <s v="High"/>
  </r>
  <r>
    <s v="ORD1015"/>
    <x v="53"/>
    <x v="2"/>
    <x v="1"/>
    <s v="Haircare"/>
    <n v="3021.62"/>
    <n v="265.23"/>
    <n v="3"/>
    <n v="8.7777417411851924E-2"/>
    <s v="High"/>
  </r>
  <r>
    <s v="ORD1046"/>
    <x v="54"/>
    <x v="1"/>
    <x v="0"/>
    <s v="Makeup"/>
    <n v="4085.19"/>
    <n v="396.86"/>
    <n v="2"/>
    <n v="9.7146032375483152E-2"/>
    <s v="High"/>
  </r>
  <r>
    <s v="ORD1073"/>
    <x v="55"/>
    <x v="0"/>
    <x v="2"/>
    <s v="Haircare"/>
    <n v="4130.25"/>
    <n v="1232.57"/>
    <n v="4"/>
    <n v="0.29842503480418858"/>
    <s v="High"/>
  </r>
  <r>
    <s v="ORD1085"/>
    <x v="56"/>
    <x v="2"/>
    <x v="3"/>
    <s v="Skincare"/>
    <n v="1436.14"/>
    <n v="151.88999999999999"/>
    <n v="9"/>
    <n v="0.10576266937763726"/>
    <s v="Medium"/>
  </r>
  <r>
    <s v="ORD1051"/>
    <x v="57"/>
    <x v="2"/>
    <x v="0"/>
    <s v="Makeup"/>
    <n v="2857.19"/>
    <n v="244.48"/>
    <n v="1"/>
    <n v="8.5566588151295503E-2"/>
    <s v="High"/>
  </r>
  <r>
    <s v="ORD1097"/>
    <x v="58"/>
    <x v="2"/>
    <x v="3"/>
    <s v="Skincare"/>
    <n v="564.91"/>
    <n v="175.62"/>
    <n v="7"/>
    <n v="0.31088137933476129"/>
    <s v="Medium"/>
  </r>
  <r>
    <s v="ORD1048"/>
    <x v="59"/>
    <x v="2"/>
    <x v="4"/>
    <s v="Makeup"/>
    <n v="473.11"/>
    <n v="149.30000000000001"/>
    <n v="2"/>
    <n v="0.31557143159096196"/>
    <s v="Medium"/>
  </r>
  <r>
    <s v="ORD1091"/>
    <x v="59"/>
    <x v="1"/>
    <x v="6"/>
    <s v="Makeup"/>
    <n v="1905.89"/>
    <n v="231.24"/>
    <n v="6"/>
    <n v="0.12132914281516771"/>
    <s v="High"/>
  </r>
  <r>
    <s v="ORD1031"/>
    <x v="60"/>
    <x v="2"/>
    <x v="5"/>
    <s v="Skincare"/>
    <n v="4185.04"/>
    <n v="681.67"/>
    <n v="4"/>
    <n v="0.16288255309387722"/>
    <s v="High"/>
  </r>
  <r>
    <s v="ORD1065"/>
    <x v="61"/>
    <x v="2"/>
    <x v="1"/>
    <s v="Haircare"/>
    <n v="2668.71"/>
    <n v="314.36"/>
    <n v="5"/>
    <n v="0.11779473978064309"/>
    <s v="High"/>
  </r>
  <r>
    <s v="ORD1016"/>
    <x v="62"/>
    <x v="1"/>
    <x v="3"/>
    <s v="Skincare"/>
    <n v="2453.02"/>
    <n v="395.34"/>
    <n v="2"/>
    <n v="0.16116460526208509"/>
    <s v="High"/>
  </r>
  <r>
    <s v="ORD1040"/>
    <x v="63"/>
    <x v="2"/>
    <x v="0"/>
    <s v="Makeup"/>
    <n v="4352.25"/>
    <n v="656.3"/>
    <n v="6"/>
    <n v="0.15079556551209145"/>
    <s v="High"/>
  </r>
  <r>
    <s v="ORD1086"/>
    <x v="64"/>
    <x v="0"/>
    <x v="7"/>
    <s v="Fragrance"/>
    <n v="4177.87"/>
    <n v="545.08000000000004"/>
    <n v="3"/>
    <n v="0.13046839657528839"/>
    <s v="High"/>
  </r>
  <r>
    <s v="ORD1061"/>
    <x v="65"/>
    <x v="3"/>
    <x v="2"/>
    <s v="Haircare"/>
    <n v="3922.52"/>
    <n v="1080.44"/>
    <n v="3"/>
    <n v="0.27544537695155158"/>
    <s v="High"/>
  </r>
  <r>
    <s v="ORD1089"/>
    <x v="66"/>
    <x v="2"/>
    <x v="4"/>
    <s v="Makeup"/>
    <n v="1774.55"/>
    <n v="306.10000000000002"/>
    <n v="8"/>
    <n v="0.17249443520892621"/>
    <s v="High"/>
  </r>
  <r>
    <s v="ORD1053"/>
    <x v="67"/>
    <x v="0"/>
    <x v="2"/>
    <s v="Haircare"/>
    <n v="3347.58"/>
    <n v="762.47"/>
    <n v="8"/>
    <n v="0.22776752161262764"/>
    <s v="High"/>
  </r>
  <r>
    <s v="ORD1020"/>
    <x v="68"/>
    <x v="3"/>
    <x v="4"/>
    <s v="Makeup"/>
    <n v="4934.8599999999997"/>
    <n v="1459.87"/>
    <n v="10"/>
    <n v="0.29582804780682737"/>
    <s v="High"/>
  </r>
  <r>
    <s v="ORD1083"/>
    <x v="69"/>
    <x v="1"/>
    <x v="2"/>
    <s v="Haircare"/>
    <n v="1863.04"/>
    <n v="557.73"/>
    <n v="7"/>
    <n v="0.29936555307454482"/>
    <s v="High"/>
  </r>
  <r>
    <s v="ORD1034"/>
    <x v="70"/>
    <x v="0"/>
    <x v="5"/>
    <s v="Skincare"/>
    <n v="353.18"/>
    <n v="63.81"/>
    <n v="6"/>
    <n v="0.1806727447760349"/>
    <s v="Medium"/>
  </r>
  <r>
    <s v="ORD1030"/>
    <x v="71"/>
    <x v="1"/>
    <x v="6"/>
    <s v="Makeup"/>
    <n v="1290.1400000000001"/>
    <n v="196.8"/>
    <n v="9"/>
    <n v="0.15254158463422574"/>
    <s v="Medium"/>
  </r>
  <r>
    <s v="ORD1071"/>
    <x v="72"/>
    <x v="1"/>
    <x v="4"/>
    <s v="Makeup"/>
    <n v="1792.62"/>
    <n v="596.6"/>
    <n v="3"/>
    <n v="0.33280896118530423"/>
    <s v="High"/>
  </r>
  <r>
    <s v="ORD1082"/>
    <x v="73"/>
    <x v="0"/>
    <x v="6"/>
    <s v="Makeup"/>
    <n v="257.43"/>
    <n v="72.930000000000007"/>
    <n v="2"/>
    <n v="0.28330031464864236"/>
    <s v="Medium"/>
  </r>
  <r>
    <s v="ORD1019"/>
    <x v="74"/>
    <x v="2"/>
    <x v="0"/>
    <s v="Makeup"/>
    <n v="4286.33"/>
    <n v="404.68"/>
    <n v="4"/>
    <n v="9.4411769509113855E-2"/>
    <s v="High"/>
  </r>
  <r>
    <s v="ORD1088"/>
    <x v="75"/>
    <x v="3"/>
    <x v="0"/>
    <s v="Makeup"/>
    <n v="2644.28"/>
    <n v="450.38"/>
    <n v="7"/>
    <n v="0.1703223561801322"/>
    <s v="High"/>
  </r>
  <r>
    <s v="ORD1028"/>
    <x v="76"/>
    <x v="1"/>
    <x v="7"/>
    <s v="Fragrance"/>
    <n v="629.78"/>
    <n v="107.81"/>
    <n v="8"/>
    <n v="0.17118676363174443"/>
    <s v="Medium"/>
  </r>
  <r>
    <s v="ORD1081"/>
    <x v="77"/>
    <x v="3"/>
    <x v="5"/>
    <s v="Skincare"/>
    <n v="4625.08"/>
    <n v="1378.94"/>
    <n v="10"/>
    <n v="0.29814403210322848"/>
    <s v="High"/>
  </r>
  <r>
    <s v="ORD1100"/>
    <x v="78"/>
    <x v="2"/>
    <x v="2"/>
    <s v="Haircare"/>
    <n v="888.33"/>
    <n v="264.12"/>
    <n v="4"/>
    <n v="0.29732194117051097"/>
    <s v="Medium"/>
  </r>
  <r>
    <s v="ORD1092"/>
    <x v="79"/>
    <x v="0"/>
    <x v="4"/>
    <s v="Makeup"/>
    <n v="3148.96"/>
    <n v="674.7"/>
    <n v="6"/>
    <n v="0.21426121640160561"/>
    <s v="High"/>
  </r>
  <r>
    <s v="ORD1090"/>
    <x v="80"/>
    <x v="3"/>
    <x v="2"/>
    <s v="Haircare"/>
    <n v="2415.61"/>
    <n v="725.24"/>
    <n v="3"/>
    <n v="0.30023058357930293"/>
    <s v="High"/>
  </r>
  <r>
    <s v="ORD1010"/>
    <x v="81"/>
    <x v="1"/>
    <x v="7"/>
    <s v="Fragrance"/>
    <n v="2736.62"/>
    <n v="851.57"/>
    <n v="2"/>
    <n v="0.31117583003851468"/>
    <s v="High"/>
  </r>
  <r>
    <s v="ORD1041"/>
    <x v="82"/>
    <x v="3"/>
    <x v="0"/>
    <s v="Makeup"/>
    <n v="2551.65"/>
    <n v="623.5"/>
    <n v="3"/>
    <n v="0.24435169400192031"/>
    <s v="High"/>
  </r>
  <r>
    <s v="ORD1101"/>
    <x v="83"/>
    <x v="0"/>
    <x v="0"/>
    <s v="Makeup"/>
    <n v="607.42999999999995"/>
    <n v="56.13"/>
    <n v="10"/>
    <n v="9.2405709299837033E-2"/>
    <s v="Medium"/>
  </r>
  <r>
    <s v="ORD1012"/>
    <x v="84"/>
    <x v="1"/>
    <x v="1"/>
    <s v="Haircare"/>
    <n v="4382.63"/>
    <n v="442.76"/>
    <n v="5"/>
    <n v="0.10102609620250853"/>
    <s v="High"/>
  </r>
  <r>
    <s v="ORD1077"/>
    <x v="85"/>
    <x v="0"/>
    <x v="3"/>
    <s v="Skincare"/>
    <n v="4594.26"/>
    <n v="1222.22"/>
    <n v="3"/>
    <n v="0.26603196162167575"/>
    <s v="High"/>
  </r>
  <r>
    <s v="ORD1006"/>
    <x v="86"/>
    <x v="1"/>
    <x v="4"/>
    <s v="Makeup"/>
    <n v="3441.39"/>
    <n v="888.07"/>
    <n v="10"/>
    <n v="0.25805561125010534"/>
    <s v="High"/>
  </r>
  <r>
    <s v="ORD1032"/>
    <x v="87"/>
    <x v="2"/>
    <x v="6"/>
    <s v="Makeup"/>
    <n v="3953.6"/>
    <n v="999.63"/>
    <n v="5"/>
    <n v="0.25284044921084581"/>
    <s v="High"/>
  </r>
  <r>
    <s v="ORD1069"/>
    <x v="88"/>
    <x v="1"/>
    <x v="3"/>
    <s v="Skincare"/>
    <n v="2740.41"/>
    <n v="432.12"/>
    <n v="9"/>
    <n v="0.15768443408103169"/>
    <s v="High"/>
  </r>
  <r>
    <s v="ORD1013"/>
    <x v="89"/>
    <x v="1"/>
    <x v="4"/>
    <s v="Makeup"/>
    <n v="2681.15"/>
    <n v="390.58"/>
    <n v="2"/>
    <n v="0.14567629561941703"/>
    <s v="High"/>
  </r>
  <r>
    <s v="ORD1023"/>
    <x v="89"/>
    <x v="2"/>
    <x v="0"/>
    <s v="Makeup"/>
    <n v="4655.2700000000004"/>
    <n v="986.07"/>
    <n v="7"/>
    <n v="0.21181800411146937"/>
    <s v="High"/>
  </r>
  <r>
    <m/>
    <x v="90"/>
    <x v="4"/>
    <x v="8"/>
    <m/>
    <m/>
    <m/>
    <m/>
    <m/>
    <m/>
  </r>
  <r>
    <m/>
    <x v="90"/>
    <x v="4"/>
    <x v="8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5E778-2E2D-4C48-95B8-FBA7D81DCED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12">
    <pivotField showAll="0"/>
    <pivotField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5" baseField="0" baseItem="1" numFmtId="2"/>
    <dataField name="Total Profit" fld="6" baseField="0" baseItem="1"/>
    <dataField name="Average  Profit margin" fld="8" subtotal="average" baseField="0" baseItem="2" numFmtId="9"/>
    <dataField name="Total Quantity Sold" fld="7" baseField="0" baseItem="3"/>
  </dataFields>
  <formats count="11"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F8225-EEB4-4C24-A80F-D14C5F7E443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">
  <location ref="A46:B56" firstHeaderRow="1" firstDataRow="1" firstDataCol="1"/>
  <pivotFields count="12">
    <pivotField showAll="0"/>
    <pivotField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axis="axisRow" showAll="0" sortType="ascending">
      <items count="10">
        <item x="1"/>
        <item x="5"/>
        <item x="0"/>
        <item x="4"/>
        <item x="6"/>
        <item x="7"/>
        <item x="2"/>
        <item x="3"/>
        <item n=".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0">
    <i>
      <x v="8"/>
    </i>
    <i>
      <x v="4"/>
    </i>
    <i>
      <x v="5"/>
    </i>
    <i>
      <x v="7"/>
    </i>
    <i>
      <x v="1"/>
    </i>
    <i>
      <x/>
    </i>
    <i>
      <x v="2"/>
    </i>
    <i>
      <x v="3"/>
    </i>
    <i>
      <x v="6"/>
    </i>
    <i t="grand">
      <x/>
    </i>
  </rowItems>
  <colItems count="1">
    <i/>
  </colItems>
  <dataFields count="1">
    <dataField name=" Sales" fld="5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DE453-A7D7-406A-9029-2D977797C7E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gion">
  <location ref="A29:B35" firstHeaderRow="1" firstDataRow="1" firstDataCol="1"/>
  <pivotFields count="12">
    <pivotField showAll="0"/>
    <pivotField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fit Acc. to region" fld="6" baseField="2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10805-AB54-4DE3-821B-B202D2DBBF6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onth">
  <location ref="A10:B24" firstHeaderRow="1" firstDataRow="1" firstDataCol="1"/>
  <pivotFields count="12">
    <pivotField showAll="0"/>
    <pivotField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n=".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 Sales." fld="5" baseField="1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719A-CD09-48E9-B0A1-B2DF7C00DFCB}">
  <dimension ref="A3:D56"/>
  <sheetViews>
    <sheetView workbookViewId="0">
      <selection activeCell="C10" sqref="C10"/>
    </sheetView>
  </sheetViews>
  <sheetFormatPr defaultRowHeight="14.4" x14ac:dyDescent="0.3"/>
  <cols>
    <col min="1" max="1" width="10.77734375" bestFit="1" customWidth="1"/>
    <col min="2" max="2" width="19.21875" customWidth="1"/>
    <col min="3" max="3" width="24.5546875" bestFit="1" customWidth="1"/>
    <col min="4" max="4" width="21.109375" bestFit="1" customWidth="1"/>
  </cols>
  <sheetData>
    <row r="3" spans="1:4" ht="16.2" x14ac:dyDescent="0.4">
      <c r="A3" s="5" t="s">
        <v>126</v>
      </c>
      <c r="B3" s="6" t="s">
        <v>127</v>
      </c>
      <c r="C3" s="5" t="s">
        <v>128</v>
      </c>
      <c r="D3" s="5" t="s">
        <v>129</v>
      </c>
    </row>
    <row r="4" spans="1:4" x14ac:dyDescent="0.3">
      <c r="A4" s="3">
        <v>263811.77999999997</v>
      </c>
      <c r="B4">
        <v>53489.650000000009</v>
      </c>
      <c r="C4" s="4">
        <v>0.2065572384082518</v>
      </c>
      <c r="D4">
        <v>526</v>
      </c>
    </row>
    <row r="10" spans="1:4" x14ac:dyDescent="0.3">
      <c r="A10" s="7" t="s">
        <v>145</v>
      </c>
      <c r="B10" t="s">
        <v>148</v>
      </c>
    </row>
    <row r="11" spans="1:4" x14ac:dyDescent="0.3">
      <c r="A11" s="8" t="s">
        <v>144</v>
      </c>
    </row>
    <row r="12" spans="1:4" x14ac:dyDescent="0.3">
      <c r="A12" s="8" t="s">
        <v>132</v>
      </c>
      <c r="B12">
        <v>12090.73</v>
      </c>
    </row>
    <row r="13" spans="1:4" x14ac:dyDescent="0.3">
      <c r="A13" s="8" t="s">
        <v>133</v>
      </c>
      <c r="B13">
        <v>15465.720000000001</v>
      </c>
    </row>
    <row r="14" spans="1:4" x14ac:dyDescent="0.3">
      <c r="A14" s="8" t="s">
        <v>134</v>
      </c>
      <c r="B14">
        <v>30671.940000000002</v>
      </c>
    </row>
    <row r="15" spans="1:4" x14ac:dyDescent="0.3">
      <c r="A15" s="8" t="s">
        <v>135</v>
      </c>
      <c r="B15">
        <v>20506.21</v>
      </c>
    </row>
    <row r="16" spans="1:4" x14ac:dyDescent="0.3">
      <c r="A16" s="8" t="s">
        <v>136</v>
      </c>
      <c r="B16">
        <v>22486.09</v>
      </c>
    </row>
    <row r="17" spans="1:2" x14ac:dyDescent="0.3">
      <c r="A17" s="8" t="s">
        <v>137</v>
      </c>
      <c r="B17">
        <v>30225.32</v>
      </c>
    </row>
    <row r="18" spans="1:2" x14ac:dyDescent="0.3">
      <c r="A18" s="8" t="s">
        <v>138</v>
      </c>
      <c r="B18">
        <v>12683.890000000003</v>
      </c>
    </row>
    <row r="19" spans="1:2" x14ac:dyDescent="0.3">
      <c r="A19" s="8" t="s">
        <v>139</v>
      </c>
      <c r="B19">
        <v>40633.05999999999</v>
      </c>
    </row>
    <row r="20" spans="1:2" x14ac:dyDescent="0.3">
      <c r="A20" s="8" t="s">
        <v>140</v>
      </c>
      <c r="B20">
        <v>22509.629999999997</v>
      </c>
    </row>
    <row r="21" spans="1:2" x14ac:dyDescent="0.3">
      <c r="A21" s="8" t="s">
        <v>141</v>
      </c>
      <c r="B21">
        <v>13116.800000000001</v>
      </c>
    </row>
    <row r="22" spans="1:2" x14ac:dyDescent="0.3">
      <c r="A22" s="8" t="s">
        <v>142</v>
      </c>
      <c r="B22">
        <v>29391.96</v>
      </c>
    </row>
    <row r="23" spans="1:2" x14ac:dyDescent="0.3">
      <c r="A23" s="8" t="s">
        <v>143</v>
      </c>
      <c r="B23">
        <v>14030.43</v>
      </c>
    </row>
    <row r="24" spans="1:2" x14ac:dyDescent="0.3">
      <c r="A24" s="8" t="s">
        <v>131</v>
      </c>
      <c r="B24">
        <v>263811.78000000003</v>
      </c>
    </row>
    <row r="29" spans="1:2" x14ac:dyDescent="0.3">
      <c r="A29" s="7" t="s">
        <v>2</v>
      </c>
      <c r="B29" t="s">
        <v>146</v>
      </c>
    </row>
    <row r="30" spans="1:2" x14ac:dyDescent="0.3">
      <c r="A30" s="8" t="s">
        <v>38</v>
      </c>
      <c r="B30">
        <v>9874.3999999999978</v>
      </c>
    </row>
    <row r="31" spans="1:2" x14ac:dyDescent="0.3">
      <c r="A31" s="8" t="s">
        <v>24</v>
      </c>
      <c r="B31">
        <v>19003.11</v>
      </c>
    </row>
    <row r="32" spans="1:2" x14ac:dyDescent="0.3">
      <c r="A32" s="8" t="s">
        <v>9</v>
      </c>
      <c r="B32">
        <v>13390.199999999999</v>
      </c>
    </row>
    <row r="33" spans="1:2" x14ac:dyDescent="0.3">
      <c r="A33" s="8" t="s">
        <v>15</v>
      </c>
      <c r="B33">
        <v>11221.939999999999</v>
      </c>
    </row>
    <row r="34" spans="1:2" x14ac:dyDescent="0.3">
      <c r="A34" s="8" t="s">
        <v>130</v>
      </c>
    </row>
    <row r="35" spans="1:2" x14ac:dyDescent="0.3">
      <c r="A35" s="8" t="s">
        <v>131</v>
      </c>
      <c r="B35">
        <v>53489.649999999994</v>
      </c>
    </row>
    <row r="46" spans="1:2" x14ac:dyDescent="0.3">
      <c r="A46" s="7" t="s">
        <v>3</v>
      </c>
      <c r="B46" t="s">
        <v>147</v>
      </c>
    </row>
    <row r="47" spans="1:2" x14ac:dyDescent="0.3">
      <c r="A47" s="8" t="s">
        <v>144</v>
      </c>
    </row>
    <row r="48" spans="1:2" x14ac:dyDescent="0.3">
      <c r="A48" s="8" t="s">
        <v>26</v>
      </c>
      <c r="B48">
        <v>20947.98</v>
      </c>
    </row>
    <row r="49" spans="1:2" x14ac:dyDescent="0.3">
      <c r="A49" s="8" t="s">
        <v>28</v>
      </c>
      <c r="B49">
        <v>22998.519999999997</v>
      </c>
    </row>
    <row r="50" spans="1:2" x14ac:dyDescent="0.3">
      <c r="A50" s="8" t="s">
        <v>13</v>
      </c>
      <c r="B50">
        <v>26002.570000000003</v>
      </c>
    </row>
    <row r="51" spans="1:2" x14ac:dyDescent="0.3">
      <c r="A51" s="8" t="s">
        <v>10</v>
      </c>
      <c r="B51">
        <v>31745.210000000006</v>
      </c>
    </row>
    <row r="52" spans="1:2" x14ac:dyDescent="0.3">
      <c r="A52" s="8" t="s">
        <v>31</v>
      </c>
      <c r="B52">
        <v>34963.64</v>
      </c>
    </row>
    <row r="53" spans="1:2" x14ac:dyDescent="0.3">
      <c r="A53" s="8" t="s">
        <v>41</v>
      </c>
      <c r="B53">
        <v>35800</v>
      </c>
    </row>
    <row r="54" spans="1:2" x14ac:dyDescent="0.3">
      <c r="A54" s="8" t="s">
        <v>16</v>
      </c>
      <c r="B54">
        <v>39835.14</v>
      </c>
    </row>
    <row r="55" spans="1:2" x14ac:dyDescent="0.3">
      <c r="A55" s="8" t="s">
        <v>21</v>
      </c>
      <c r="B55">
        <v>51518.720000000001</v>
      </c>
    </row>
    <row r="56" spans="1:2" x14ac:dyDescent="0.3">
      <c r="A56" s="8" t="s">
        <v>131</v>
      </c>
      <c r="B56">
        <v>263811.77999999997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zoomScaleNormal="100" workbookViewId="0">
      <selection activeCell="M19" sqref="A1:XFD1048576"/>
    </sheetView>
  </sheetViews>
  <sheetFormatPr defaultRowHeight="14.4" x14ac:dyDescent="0.3"/>
  <cols>
    <col min="1" max="1" width="8.6640625" bestFit="1" customWidth="1"/>
    <col min="2" max="2" width="10.33203125" bestFit="1" customWidth="1"/>
    <col min="3" max="3" width="6.5546875" bestFit="1" customWidth="1"/>
    <col min="4" max="4" width="10.5546875" bestFit="1" customWidth="1"/>
    <col min="5" max="5" width="9" bestFit="1" customWidth="1"/>
    <col min="6" max="8" width="8" bestFit="1" customWidth="1"/>
    <col min="9" max="9" width="11.5546875" bestFit="1" customWidth="1"/>
    <col min="10" max="10" width="12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124</v>
      </c>
      <c r="J1" t="s">
        <v>125</v>
      </c>
    </row>
    <row r="2" spans="1:10" x14ac:dyDescent="0.3">
      <c r="A2" t="s">
        <v>76</v>
      </c>
      <c r="B2" s="2">
        <v>45661</v>
      </c>
      <c r="C2" t="s">
        <v>38</v>
      </c>
      <c r="D2" t="s">
        <v>41</v>
      </c>
      <c r="E2" t="s">
        <v>17</v>
      </c>
      <c r="F2">
        <v>2352.08</v>
      </c>
      <c r="G2">
        <v>723.08</v>
      </c>
      <c r="H2">
        <v>3</v>
      </c>
      <c r="I2" s="1">
        <f t="shared" ref="I2:I33" si="0">G2/F2</f>
        <v>0.30742151627495667</v>
      </c>
      <c r="J2" t="str">
        <f t="shared" ref="J2:J33" si="1">IF(F2&gt;1500,"High","Medium")</f>
        <v>High</v>
      </c>
    </row>
    <row r="3" spans="1:10" x14ac:dyDescent="0.3">
      <c r="A3" t="s">
        <v>77</v>
      </c>
      <c r="B3" s="2">
        <v>45666</v>
      </c>
      <c r="C3" t="s">
        <v>9</v>
      </c>
      <c r="D3" t="s">
        <v>31</v>
      </c>
      <c r="E3" t="s">
        <v>22</v>
      </c>
      <c r="F3">
        <v>3199.09</v>
      </c>
      <c r="G3">
        <v>416.03</v>
      </c>
      <c r="H3">
        <v>6</v>
      </c>
      <c r="I3" s="1">
        <f t="shared" si="0"/>
        <v>0.13004635693275274</v>
      </c>
      <c r="J3" t="str">
        <f t="shared" si="1"/>
        <v>High</v>
      </c>
    </row>
    <row r="4" spans="1:10" x14ac:dyDescent="0.3">
      <c r="A4" t="s">
        <v>98</v>
      </c>
      <c r="B4" s="2">
        <v>45672</v>
      </c>
      <c r="C4" t="s">
        <v>38</v>
      </c>
      <c r="D4" t="s">
        <v>31</v>
      </c>
      <c r="E4" t="s">
        <v>22</v>
      </c>
      <c r="F4">
        <v>3023.61</v>
      </c>
      <c r="G4">
        <v>568.30999999999995</v>
      </c>
      <c r="H4">
        <v>5</v>
      </c>
      <c r="I4" s="1">
        <f t="shared" si="0"/>
        <v>0.18795744160126468</v>
      </c>
      <c r="J4" t="str">
        <f t="shared" si="1"/>
        <v>High</v>
      </c>
    </row>
    <row r="5" spans="1:10" x14ac:dyDescent="0.3">
      <c r="A5" t="s">
        <v>71</v>
      </c>
      <c r="B5" s="2">
        <v>45676</v>
      </c>
      <c r="C5" t="s">
        <v>38</v>
      </c>
      <c r="D5" t="s">
        <v>21</v>
      </c>
      <c r="E5" t="s">
        <v>22</v>
      </c>
      <c r="F5">
        <v>3515.95</v>
      </c>
      <c r="G5">
        <v>986.69</v>
      </c>
      <c r="H5">
        <v>4</v>
      </c>
      <c r="I5" s="1">
        <f t="shared" si="0"/>
        <v>0.28063254596908377</v>
      </c>
      <c r="J5" t="str">
        <f t="shared" si="1"/>
        <v>High</v>
      </c>
    </row>
    <row r="6" spans="1:10" x14ac:dyDescent="0.3">
      <c r="A6" t="s">
        <v>81</v>
      </c>
      <c r="B6" s="2">
        <v>45695</v>
      </c>
      <c r="C6" t="s">
        <v>15</v>
      </c>
      <c r="D6" t="s">
        <v>31</v>
      </c>
      <c r="E6" t="s">
        <v>22</v>
      </c>
      <c r="F6">
        <v>4640.37</v>
      </c>
      <c r="G6">
        <v>976.19</v>
      </c>
      <c r="H6">
        <v>9</v>
      </c>
      <c r="I6" s="1">
        <f t="shared" si="0"/>
        <v>0.21036900074778522</v>
      </c>
      <c r="J6" t="str">
        <f t="shared" si="1"/>
        <v>High</v>
      </c>
    </row>
    <row r="7" spans="1:10" x14ac:dyDescent="0.3">
      <c r="A7" t="s">
        <v>12</v>
      </c>
      <c r="B7" s="2">
        <v>45697</v>
      </c>
      <c r="C7" t="s">
        <v>9</v>
      </c>
      <c r="D7" t="s">
        <v>13</v>
      </c>
      <c r="E7" t="s">
        <v>11</v>
      </c>
      <c r="F7">
        <v>1402.34</v>
      </c>
      <c r="G7">
        <v>372.86</v>
      </c>
      <c r="H7">
        <v>6</v>
      </c>
      <c r="I7" s="1">
        <f t="shared" si="0"/>
        <v>0.26588416503843576</v>
      </c>
      <c r="J7" t="str">
        <f t="shared" si="1"/>
        <v>Medium</v>
      </c>
    </row>
    <row r="8" spans="1:10" x14ac:dyDescent="0.3">
      <c r="A8" t="s">
        <v>72</v>
      </c>
      <c r="B8" s="2">
        <v>45705</v>
      </c>
      <c r="C8" t="s">
        <v>24</v>
      </c>
      <c r="D8" t="s">
        <v>16</v>
      </c>
      <c r="E8" t="s">
        <v>17</v>
      </c>
      <c r="F8">
        <v>4467.21</v>
      </c>
      <c r="G8">
        <v>800.37</v>
      </c>
      <c r="H8">
        <v>10</v>
      </c>
      <c r="I8" s="1">
        <f t="shared" si="0"/>
        <v>0.17916551941816033</v>
      </c>
      <c r="J8" t="str">
        <f t="shared" si="1"/>
        <v>High</v>
      </c>
    </row>
    <row r="9" spans="1:10" x14ac:dyDescent="0.3">
      <c r="A9" t="s">
        <v>57</v>
      </c>
      <c r="B9" s="2">
        <v>45716</v>
      </c>
      <c r="C9" t="s">
        <v>15</v>
      </c>
      <c r="D9" t="s">
        <v>16</v>
      </c>
      <c r="E9" t="s">
        <v>17</v>
      </c>
      <c r="F9">
        <v>4955.8</v>
      </c>
      <c r="G9">
        <v>686.5</v>
      </c>
      <c r="H9">
        <v>9</v>
      </c>
      <c r="I9" s="1">
        <f t="shared" si="0"/>
        <v>0.1385245570846281</v>
      </c>
      <c r="J9" t="str">
        <f t="shared" si="1"/>
        <v>High</v>
      </c>
    </row>
    <row r="10" spans="1:10" x14ac:dyDescent="0.3">
      <c r="A10" t="s">
        <v>96</v>
      </c>
      <c r="B10" s="2">
        <v>45719</v>
      </c>
      <c r="C10" t="s">
        <v>24</v>
      </c>
      <c r="D10" t="s">
        <v>10</v>
      </c>
      <c r="E10" t="s">
        <v>11</v>
      </c>
      <c r="F10">
        <v>4419.1000000000004</v>
      </c>
      <c r="G10">
        <v>1246.19</v>
      </c>
      <c r="H10">
        <v>6</v>
      </c>
      <c r="I10" s="1">
        <f t="shared" si="0"/>
        <v>0.28200085990360024</v>
      </c>
      <c r="J10" t="str">
        <f t="shared" si="1"/>
        <v>High</v>
      </c>
    </row>
    <row r="11" spans="1:10" x14ac:dyDescent="0.3">
      <c r="A11" t="s">
        <v>47</v>
      </c>
      <c r="B11" s="2">
        <v>45720</v>
      </c>
      <c r="C11" t="s">
        <v>24</v>
      </c>
      <c r="D11" t="s">
        <v>21</v>
      </c>
      <c r="E11" t="s">
        <v>22</v>
      </c>
      <c r="F11">
        <v>4454.6499999999996</v>
      </c>
      <c r="G11">
        <v>1333.85</v>
      </c>
      <c r="H11">
        <v>1</v>
      </c>
      <c r="I11" s="1">
        <f t="shared" si="0"/>
        <v>0.29942868687775698</v>
      </c>
      <c r="J11" t="str">
        <f t="shared" si="1"/>
        <v>High</v>
      </c>
    </row>
    <row r="12" spans="1:10" x14ac:dyDescent="0.3">
      <c r="A12" t="s">
        <v>34</v>
      </c>
      <c r="B12" s="2">
        <v>45721</v>
      </c>
      <c r="C12" t="s">
        <v>9</v>
      </c>
      <c r="D12" t="s">
        <v>21</v>
      </c>
      <c r="E12" t="s">
        <v>22</v>
      </c>
      <c r="F12">
        <v>3412.46</v>
      </c>
      <c r="G12">
        <v>426.07</v>
      </c>
      <c r="H12">
        <v>8</v>
      </c>
      <c r="I12" s="1">
        <f t="shared" si="0"/>
        <v>0.12485714118260727</v>
      </c>
      <c r="J12" t="str">
        <f t="shared" si="1"/>
        <v>High</v>
      </c>
    </row>
    <row r="13" spans="1:10" x14ac:dyDescent="0.3">
      <c r="A13" t="s">
        <v>88</v>
      </c>
      <c r="B13" s="2">
        <v>45723</v>
      </c>
      <c r="C13" t="s">
        <v>38</v>
      </c>
      <c r="D13" t="s">
        <v>16</v>
      </c>
      <c r="E13" t="s">
        <v>17</v>
      </c>
      <c r="F13">
        <v>1827.96</v>
      </c>
      <c r="G13">
        <v>190.96</v>
      </c>
      <c r="H13">
        <v>1</v>
      </c>
      <c r="I13" s="1">
        <f t="shared" si="0"/>
        <v>0.1044661808792315</v>
      </c>
      <c r="J13" t="str">
        <f t="shared" si="1"/>
        <v>High</v>
      </c>
    </row>
    <row r="14" spans="1:10" x14ac:dyDescent="0.3">
      <c r="A14" t="s">
        <v>82</v>
      </c>
      <c r="B14" s="2">
        <v>45725</v>
      </c>
      <c r="C14" t="s">
        <v>24</v>
      </c>
      <c r="D14" t="s">
        <v>26</v>
      </c>
      <c r="E14" t="s">
        <v>17</v>
      </c>
      <c r="F14">
        <v>1456.78</v>
      </c>
      <c r="G14">
        <v>167.85</v>
      </c>
      <c r="H14">
        <v>2</v>
      </c>
      <c r="I14" s="1">
        <f t="shared" si="0"/>
        <v>0.11521986847705212</v>
      </c>
      <c r="J14" t="str">
        <f t="shared" si="1"/>
        <v>Medium</v>
      </c>
    </row>
    <row r="15" spans="1:10" x14ac:dyDescent="0.3">
      <c r="A15" t="s">
        <v>61</v>
      </c>
      <c r="B15" s="2">
        <v>45726</v>
      </c>
      <c r="C15" t="s">
        <v>9</v>
      </c>
      <c r="D15" t="s">
        <v>28</v>
      </c>
      <c r="E15" t="s">
        <v>29</v>
      </c>
      <c r="F15">
        <v>1731.03</v>
      </c>
      <c r="G15">
        <v>376.52</v>
      </c>
      <c r="H15">
        <v>5</v>
      </c>
      <c r="I15" s="1">
        <f t="shared" si="0"/>
        <v>0.21751211706325135</v>
      </c>
      <c r="J15" t="str">
        <f t="shared" si="1"/>
        <v>High</v>
      </c>
    </row>
    <row r="16" spans="1:10" x14ac:dyDescent="0.3">
      <c r="A16" t="s">
        <v>74</v>
      </c>
      <c r="B16" s="2">
        <v>45726</v>
      </c>
      <c r="C16" t="s">
        <v>9</v>
      </c>
      <c r="D16" t="s">
        <v>16</v>
      </c>
      <c r="E16" t="s">
        <v>17</v>
      </c>
      <c r="F16">
        <v>2110.64</v>
      </c>
      <c r="G16">
        <v>485.71</v>
      </c>
      <c r="H16">
        <v>10</v>
      </c>
      <c r="I16" s="1">
        <f t="shared" si="0"/>
        <v>0.2301245119963613</v>
      </c>
      <c r="J16" t="str">
        <f t="shared" si="1"/>
        <v>High</v>
      </c>
    </row>
    <row r="17" spans="1:10" x14ac:dyDescent="0.3">
      <c r="A17" t="s">
        <v>44</v>
      </c>
      <c r="B17" s="2">
        <v>45727</v>
      </c>
      <c r="C17" t="s">
        <v>15</v>
      </c>
      <c r="D17" t="s">
        <v>26</v>
      </c>
      <c r="E17" t="s">
        <v>17</v>
      </c>
      <c r="F17">
        <v>218.79</v>
      </c>
      <c r="G17">
        <v>68.95</v>
      </c>
      <c r="H17">
        <v>1</v>
      </c>
      <c r="I17" s="1">
        <f t="shared" si="0"/>
        <v>0.31514237396590339</v>
      </c>
      <c r="J17" t="str">
        <f t="shared" si="1"/>
        <v>Medium</v>
      </c>
    </row>
    <row r="18" spans="1:10" x14ac:dyDescent="0.3">
      <c r="A18" t="s">
        <v>59</v>
      </c>
      <c r="B18" s="2">
        <v>45732</v>
      </c>
      <c r="C18" t="s">
        <v>24</v>
      </c>
      <c r="D18" t="s">
        <v>28</v>
      </c>
      <c r="E18" t="s">
        <v>29</v>
      </c>
      <c r="F18">
        <v>2484.39</v>
      </c>
      <c r="G18">
        <v>551.76</v>
      </c>
      <c r="H18">
        <v>10</v>
      </c>
      <c r="I18" s="1">
        <f t="shared" si="0"/>
        <v>0.22209073454650841</v>
      </c>
      <c r="J18" t="str">
        <f t="shared" si="1"/>
        <v>High</v>
      </c>
    </row>
    <row r="19" spans="1:10" x14ac:dyDescent="0.3">
      <c r="A19" t="s">
        <v>116</v>
      </c>
      <c r="B19" s="2">
        <v>45732</v>
      </c>
      <c r="C19" t="s">
        <v>24</v>
      </c>
      <c r="D19" t="s">
        <v>26</v>
      </c>
      <c r="E19" t="s">
        <v>17</v>
      </c>
      <c r="F19">
        <v>1407.48</v>
      </c>
      <c r="G19">
        <v>230.49</v>
      </c>
      <c r="H19">
        <v>5</v>
      </c>
      <c r="I19" s="1">
        <f t="shared" si="0"/>
        <v>0.16376076391849262</v>
      </c>
      <c r="J19" t="str">
        <f t="shared" si="1"/>
        <v>Medium</v>
      </c>
    </row>
    <row r="20" spans="1:10" x14ac:dyDescent="0.3">
      <c r="A20" t="s">
        <v>55</v>
      </c>
      <c r="B20" s="2">
        <v>45734</v>
      </c>
      <c r="C20" t="s">
        <v>38</v>
      </c>
      <c r="D20" t="s">
        <v>13</v>
      </c>
      <c r="E20" t="s">
        <v>11</v>
      </c>
      <c r="F20">
        <v>1657.08</v>
      </c>
      <c r="G20">
        <v>287.44</v>
      </c>
      <c r="H20">
        <v>9</v>
      </c>
      <c r="I20" s="1">
        <f t="shared" si="0"/>
        <v>0.17346175199748956</v>
      </c>
      <c r="J20" t="str">
        <f t="shared" si="1"/>
        <v>High</v>
      </c>
    </row>
    <row r="21" spans="1:10" x14ac:dyDescent="0.3">
      <c r="A21" t="s">
        <v>46</v>
      </c>
      <c r="B21" s="2">
        <v>45745</v>
      </c>
      <c r="C21" t="s">
        <v>15</v>
      </c>
      <c r="D21" t="s">
        <v>21</v>
      </c>
      <c r="E21" t="s">
        <v>22</v>
      </c>
      <c r="F21">
        <v>4661.5600000000004</v>
      </c>
      <c r="G21">
        <v>604.99</v>
      </c>
      <c r="H21">
        <v>4</v>
      </c>
      <c r="I21" s="1">
        <f t="shared" si="0"/>
        <v>0.12978273367713811</v>
      </c>
      <c r="J21" t="str">
        <f t="shared" si="1"/>
        <v>High</v>
      </c>
    </row>
    <row r="22" spans="1:10" x14ac:dyDescent="0.3">
      <c r="A22" t="s">
        <v>100</v>
      </c>
      <c r="B22" s="2">
        <v>45745</v>
      </c>
      <c r="C22" t="s">
        <v>24</v>
      </c>
      <c r="D22" t="s">
        <v>13</v>
      </c>
      <c r="E22" t="s">
        <v>11</v>
      </c>
      <c r="F22">
        <v>830.02</v>
      </c>
      <c r="G22">
        <v>78.540000000000006</v>
      </c>
      <c r="H22">
        <v>1</v>
      </c>
      <c r="I22" s="1">
        <f t="shared" si="0"/>
        <v>9.462422592226695E-2</v>
      </c>
      <c r="J22" t="str">
        <f t="shared" si="1"/>
        <v>Medium</v>
      </c>
    </row>
    <row r="23" spans="1:10" x14ac:dyDescent="0.3">
      <c r="A23" t="s">
        <v>8</v>
      </c>
      <c r="B23" s="2">
        <v>45749</v>
      </c>
      <c r="C23" t="s">
        <v>9</v>
      </c>
      <c r="D23" t="s">
        <v>10</v>
      </c>
      <c r="E23" t="s">
        <v>11</v>
      </c>
      <c r="F23">
        <v>1302.6400000000001</v>
      </c>
      <c r="G23">
        <v>266.63</v>
      </c>
      <c r="H23">
        <v>3</v>
      </c>
      <c r="I23" s="1">
        <f t="shared" si="0"/>
        <v>0.20468433335380457</v>
      </c>
      <c r="J23" t="str">
        <f t="shared" si="1"/>
        <v>Medium</v>
      </c>
    </row>
    <row r="24" spans="1:10" x14ac:dyDescent="0.3">
      <c r="A24" t="s">
        <v>94</v>
      </c>
      <c r="B24" s="2">
        <v>45753</v>
      </c>
      <c r="C24" t="s">
        <v>9</v>
      </c>
      <c r="D24" t="s">
        <v>10</v>
      </c>
      <c r="E24" t="s">
        <v>11</v>
      </c>
      <c r="F24">
        <v>2226.09</v>
      </c>
      <c r="G24">
        <v>437.18</v>
      </c>
      <c r="H24">
        <v>7</v>
      </c>
      <c r="I24" s="1">
        <f t="shared" si="0"/>
        <v>0.19638918462416163</v>
      </c>
      <c r="J24" t="str">
        <f t="shared" si="1"/>
        <v>High</v>
      </c>
    </row>
    <row r="25" spans="1:10" x14ac:dyDescent="0.3">
      <c r="A25" t="s">
        <v>80</v>
      </c>
      <c r="B25" s="2">
        <v>45755</v>
      </c>
      <c r="C25" t="s">
        <v>9</v>
      </c>
      <c r="D25" t="s">
        <v>31</v>
      </c>
      <c r="E25" t="s">
        <v>22</v>
      </c>
      <c r="F25">
        <v>3887.44</v>
      </c>
      <c r="G25">
        <v>869.35</v>
      </c>
      <c r="H25">
        <v>1</v>
      </c>
      <c r="I25" s="1">
        <f t="shared" si="0"/>
        <v>0.22363046117753585</v>
      </c>
      <c r="J25" t="str">
        <f t="shared" si="1"/>
        <v>High</v>
      </c>
    </row>
    <row r="26" spans="1:10" x14ac:dyDescent="0.3">
      <c r="A26" t="s">
        <v>92</v>
      </c>
      <c r="B26" s="2">
        <v>45761</v>
      </c>
      <c r="C26" t="s">
        <v>24</v>
      </c>
      <c r="D26" t="s">
        <v>16</v>
      </c>
      <c r="E26" t="s">
        <v>17</v>
      </c>
      <c r="F26">
        <v>3749.75</v>
      </c>
      <c r="G26">
        <v>997.76</v>
      </c>
      <c r="H26">
        <v>9</v>
      </c>
      <c r="I26" s="1">
        <f t="shared" si="0"/>
        <v>0.2660870724714981</v>
      </c>
      <c r="J26" t="str">
        <f t="shared" si="1"/>
        <v>High</v>
      </c>
    </row>
    <row r="27" spans="1:10" x14ac:dyDescent="0.3">
      <c r="A27" t="s">
        <v>106</v>
      </c>
      <c r="B27" s="2">
        <v>45763</v>
      </c>
      <c r="C27" t="s">
        <v>9</v>
      </c>
      <c r="D27" t="s">
        <v>28</v>
      </c>
      <c r="E27" t="s">
        <v>29</v>
      </c>
      <c r="F27">
        <v>1838.93</v>
      </c>
      <c r="G27">
        <v>539.29999999999995</v>
      </c>
      <c r="H27">
        <v>10</v>
      </c>
      <c r="I27" s="1">
        <f t="shared" si="0"/>
        <v>0.29326836801835848</v>
      </c>
      <c r="J27" t="str">
        <f t="shared" si="1"/>
        <v>High</v>
      </c>
    </row>
    <row r="28" spans="1:10" x14ac:dyDescent="0.3">
      <c r="A28" t="s">
        <v>39</v>
      </c>
      <c r="B28" s="2">
        <v>45764</v>
      </c>
      <c r="C28" t="s">
        <v>15</v>
      </c>
      <c r="D28" t="s">
        <v>28</v>
      </c>
      <c r="E28" t="s">
        <v>29</v>
      </c>
      <c r="F28">
        <v>3260.75</v>
      </c>
      <c r="G28">
        <v>376.29</v>
      </c>
      <c r="H28">
        <v>2</v>
      </c>
      <c r="I28" s="1">
        <f t="shared" si="0"/>
        <v>0.11539983132714866</v>
      </c>
      <c r="J28" t="str">
        <f t="shared" si="1"/>
        <v>High</v>
      </c>
    </row>
    <row r="29" spans="1:10" x14ac:dyDescent="0.3">
      <c r="A29" t="s">
        <v>101</v>
      </c>
      <c r="B29" s="2">
        <v>45767</v>
      </c>
      <c r="C29" t="s">
        <v>15</v>
      </c>
      <c r="D29" t="s">
        <v>28</v>
      </c>
      <c r="E29" t="s">
        <v>29</v>
      </c>
      <c r="F29">
        <v>241.11</v>
      </c>
      <c r="G29">
        <v>46.91</v>
      </c>
      <c r="H29">
        <v>5</v>
      </c>
      <c r="I29" s="1">
        <f t="shared" si="0"/>
        <v>0.19455850026958646</v>
      </c>
      <c r="J29" t="str">
        <f t="shared" si="1"/>
        <v>Medium</v>
      </c>
    </row>
    <row r="30" spans="1:10" x14ac:dyDescent="0.3">
      <c r="A30" t="s">
        <v>84</v>
      </c>
      <c r="B30" s="2">
        <v>45773</v>
      </c>
      <c r="C30" t="s">
        <v>15</v>
      </c>
      <c r="D30" t="s">
        <v>13</v>
      </c>
      <c r="E30" t="s">
        <v>11</v>
      </c>
      <c r="F30">
        <v>1630.92</v>
      </c>
      <c r="G30">
        <v>315.01</v>
      </c>
      <c r="H30">
        <v>9</v>
      </c>
      <c r="I30" s="1">
        <f t="shared" si="0"/>
        <v>0.1931486522944105</v>
      </c>
      <c r="J30" t="str">
        <f t="shared" si="1"/>
        <v>High</v>
      </c>
    </row>
    <row r="31" spans="1:10" x14ac:dyDescent="0.3">
      <c r="A31" t="s">
        <v>51</v>
      </c>
      <c r="B31" s="2">
        <v>45777</v>
      </c>
      <c r="C31" t="s">
        <v>38</v>
      </c>
      <c r="D31" t="s">
        <v>28</v>
      </c>
      <c r="E31" t="s">
        <v>29</v>
      </c>
      <c r="F31">
        <v>2368.58</v>
      </c>
      <c r="G31">
        <v>748.89</v>
      </c>
      <c r="H31">
        <v>6</v>
      </c>
      <c r="I31" s="1">
        <f t="shared" si="0"/>
        <v>0.31617678102491786</v>
      </c>
      <c r="J31" t="str">
        <f t="shared" si="1"/>
        <v>High</v>
      </c>
    </row>
    <row r="32" spans="1:10" x14ac:dyDescent="0.3">
      <c r="A32" t="s">
        <v>121</v>
      </c>
      <c r="B32" s="2">
        <v>45778</v>
      </c>
      <c r="C32" t="s">
        <v>9</v>
      </c>
      <c r="D32" t="s">
        <v>10</v>
      </c>
      <c r="E32" t="s">
        <v>11</v>
      </c>
      <c r="F32">
        <v>592.99</v>
      </c>
      <c r="G32">
        <v>84.93</v>
      </c>
      <c r="H32">
        <v>3</v>
      </c>
      <c r="I32" s="1">
        <f t="shared" si="0"/>
        <v>0.1432233258570971</v>
      </c>
      <c r="J32" t="str">
        <f t="shared" si="1"/>
        <v>Medium</v>
      </c>
    </row>
    <row r="33" spans="1:10" x14ac:dyDescent="0.3">
      <c r="A33" t="s">
        <v>102</v>
      </c>
      <c r="B33" s="2">
        <v>45781</v>
      </c>
      <c r="C33" t="s">
        <v>38</v>
      </c>
      <c r="D33" t="s">
        <v>21</v>
      </c>
      <c r="E33" t="s">
        <v>22</v>
      </c>
      <c r="F33">
        <v>2697.34</v>
      </c>
      <c r="G33">
        <v>659.84</v>
      </c>
      <c r="H33">
        <v>1</v>
      </c>
      <c r="I33" s="1">
        <f t="shared" si="0"/>
        <v>0.24462618728080257</v>
      </c>
      <c r="J33" t="str">
        <f t="shared" si="1"/>
        <v>High</v>
      </c>
    </row>
    <row r="34" spans="1:10" x14ac:dyDescent="0.3">
      <c r="A34" t="s">
        <v>67</v>
      </c>
      <c r="B34" s="2">
        <v>45782</v>
      </c>
      <c r="C34" t="s">
        <v>15</v>
      </c>
      <c r="D34" t="s">
        <v>10</v>
      </c>
      <c r="E34" t="s">
        <v>11</v>
      </c>
      <c r="F34">
        <v>1493.45</v>
      </c>
      <c r="G34">
        <v>359.58</v>
      </c>
      <c r="H34">
        <v>3</v>
      </c>
      <c r="I34" s="1">
        <f t="shared" ref="I34:I65" si="2">G34/F34</f>
        <v>0.24077136830827947</v>
      </c>
      <c r="J34" t="str">
        <f t="shared" ref="J34:J65" si="3">IF(F34&gt;1500,"High","Medium")</f>
        <v>Medium</v>
      </c>
    </row>
    <row r="35" spans="1:10" x14ac:dyDescent="0.3">
      <c r="A35" t="s">
        <v>109</v>
      </c>
      <c r="B35" s="2">
        <v>45786</v>
      </c>
      <c r="C35" t="s">
        <v>24</v>
      </c>
      <c r="D35" t="s">
        <v>31</v>
      </c>
      <c r="E35" t="s">
        <v>22</v>
      </c>
      <c r="F35">
        <v>4862.24</v>
      </c>
      <c r="G35">
        <v>505.41</v>
      </c>
      <c r="H35">
        <v>1</v>
      </c>
      <c r="I35" s="1">
        <f t="shared" si="2"/>
        <v>0.10394591793083025</v>
      </c>
      <c r="J35" t="str">
        <f t="shared" si="3"/>
        <v>High</v>
      </c>
    </row>
    <row r="36" spans="1:10" x14ac:dyDescent="0.3">
      <c r="A36" t="s">
        <v>118</v>
      </c>
      <c r="B36" s="2">
        <v>45788</v>
      </c>
      <c r="C36" t="s">
        <v>24</v>
      </c>
      <c r="D36" t="s">
        <v>31</v>
      </c>
      <c r="E36" t="s">
        <v>22</v>
      </c>
      <c r="F36">
        <v>404.45</v>
      </c>
      <c r="G36">
        <v>109.96</v>
      </c>
      <c r="H36">
        <v>7</v>
      </c>
      <c r="I36" s="1">
        <f t="shared" si="2"/>
        <v>0.27187538632711089</v>
      </c>
      <c r="J36" t="str">
        <f t="shared" si="3"/>
        <v>Medium</v>
      </c>
    </row>
    <row r="37" spans="1:10" x14ac:dyDescent="0.3">
      <c r="A37" t="s">
        <v>120</v>
      </c>
      <c r="B37" s="2">
        <v>45788</v>
      </c>
      <c r="C37" t="s">
        <v>24</v>
      </c>
      <c r="D37" t="s">
        <v>26</v>
      </c>
      <c r="E37" t="s">
        <v>17</v>
      </c>
      <c r="F37">
        <v>4246.9399999999996</v>
      </c>
      <c r="G37">
        <v>1352.08</v>
      </c>
      <c r="H37">
        <v>5</v>
      </c>
      <c r="I37" s="1">
        <f t="shared" si="2"/>
        <v>0.31836569388783453</v>
      </c>
      <c r="J37" t="str">
        <f t="shared" si="3"/>
        <v>High</v>
      </c>
    </row>
    <row r="38" spans="1:10" x14ac:dyDescent="0.3">
      <c r="A38" t="s">
        <v>69</v>
      </c>
      <c r="B38" s="2">
        <v>45798</v>
      </c>
      <c r="C38" t="s">
        <v>24</v>
      </c>
      <c r="D38" t="s">
        <v>13</v>
      </c>
      <c r="E38" t="s">
        <v>11</v>
      </c>
      <c r="F38">
        <v>3991.2</v>
      </c>
      <c r="G38">
        <v>1352.09</v>
      </c>
      <c r="H38">
        <v>7</v>
      </c>
      <c r="I38" s="1">
        <f t="shared" si="2"/>
        <v>0.3387677891360994</v>
      </c>
      <c r="J38" t="str">
        <f t="shared" si="3"/>
        <v>High</v>
      </c>
    </row>
    <row r="39" spans="1:10" x14ac:dyDescent="0.3">
      <c r="A39" t="s">
        <v>48</v>
      </c>
      <c r="B39" s="2">
        <v>45800</v>
      </c>
      <c r="C39" t="s">
        <v>38</v>
      </c>
      <c r="D39" t="s">
        <v>10</v>
      </c>
      <c r="E39" t="s">
        <v>11</v>
      </c>
      <c r="F39">
        <v>2482.84</v>
      </c>
      <c r="G39">
        <v>442.65</v>
      </c>
      <c r="H39">
        <v>3</v>
      </c>
      <c r="I39" s="1">
        <f t="shared" si="2"/>
        <v>0.17828373958853569</v>
      </c>
      <c r="J39" t="str">
        <f t="shared" si="3"/>
        <v>High</v>
      </c>
    </row>
    <row r="40" spans="1:10" x14ac:dyDescent="0.3">
      <c r="A40" t="s">
        <v>78</v>
      </c>
      <c r="B40" s="2">
        <v>45808</v>
      </c>
      <c r="C40" t="s">
        <v>15</v>
      </c>
      <c r="D40" t="s">
        <v>21</v>
      </c>
      <c r="E40" t="s">
        <v>22</v>
      </c>
      <c r="F40">
        <v>1714.64</v>
      </c>
      <c r="G40">
        <v>160.88999999999999</v>
      </c>
      <c r="H40">
        <v>5</v>
      </c>
      <c r="I40" s="1">
        <f t="shared" si="2"/>
        <v>9.383310782438295E-2</v>
      </c>
      <c r="J40" t="str">
        <f t="shared" si="3"/>
        <v>High</v>
      </c>
    </row>
    <row r="41" spans="1:10" x14ac:dyDescent="0.3">
      <c r="A41" t="s">
        <v>85</v>
      </c>
      <c r="B41" s="2">
        <v>45815</v>
      </c>
      <c r="C41" t="s">
        <v>15</v>
      </c>
      <c r="D41" t="s">
        <v>13</v>
      </c>
      <c r="E41" t="s">
        <v>11</v>
      </c>
      <c r="F41">
        <v>4052.99</v>
      </c>
      <c r="G41">
        <v>438.99</v>
      </c>
      <c r="H41">
        <v>10</v>
      </c>
      <c r="I41" s="1">
        <f t="shared" si="2"/>
        <v>0.10831262845454838</v>
      </c>
      <c r="J41" t="str">
        <f t="shared" si="3"/>
        <v>High</v>
      </c>
    </row>
    <row r="42" spans="1:10" x14ac:dyDescent="0.3">
      <c r="A42" t="s">
        <v>37</v>
      </c>
      <c r="B42" s="2">
        <v>45816</v>
      </c>
      <c r="C42" t="s">
        <v>38</v>
      </c>
      <c r="D42" t="s">
        <v>26</v>
      </c>
      <c r="E42" t="s">
        <v>17</v>
      </c>
      <c r="F42">
        <v>1351.41</v>
      </c>
      <c r="G42">
        <v>122.44</v>
      </c>
      <c r="H42">
        <v>6</v>
      </c>
      <c r="I42" s="1">
        <f t="shared" si="2"/>
        <v>9.0601667887613674E-2</v>
      </c>
      <c r="J42" t="str">
        <f t="shared" si="3"/>
        <v>Medium</v>
      </c>
    </row>
    <row r="43" spans="1:10" x14ac:dyDescent="0.3">
      <c r="A43" t="s">
        <v>117</v>
      </c>
      <c r="B43" s="2">
        <v>45817</v>
      </c>
      <c r="C43" t="s">
        <v>24</v>
      </c>
      <c r="D43" t="s">
        <v>21</v>
      </c>
      <c r="E43" t="s">
        <v>22</v>
      </c>
      <c r="F43">
        <v>4376.17</v>
      </c>
      <c r="G43">
        <v>681.19</v>
      </c>
      <c r="H43">
        <v>8</v>
      </c>
      <c r="I43" s="1">
        <f t="shared" si="2"/>
        <v>0.15565894377960637</v>
      </c>
      <c r="J43" t="str">
        <f t="shared" si="3"/>
        <v>High</v>
      </c>
    </row>
    <row r="44" spans="1:10" x14ac:dyDescent="0.3">
      <c r="A44" t="s">
        <v>65</v>
      </c>
      <c r="B44" s="2">
        <v>45820</v>
      </c>
      <c r="C44" t="s">
        <v>15</v>
      </c>
      <c r="D44" t="s">
        <v>31</v>
      </c>
      <c r="E44" t="s">
        <v>22</v>
      </c>
      <c r="F44">
        <v>1732.83</v>
      </c>
      <c r="G44">
        <v>579.58000000000004</v>
      </c>
      <c r="H44">
        <v>5</v>
      </c>
      <c r="I44" s="1">
        <f t="shared" si="2"/>
        <v>0.33447020192402027</v>
      </c>
      <c r="J44" t="str">
        <f t="shared" si="3"/>
        <v>High</v>
      </c>
    </row>
    <row r="45" spans="1:10" x14ac:dyDescent="0.3">
      <c r="A45" t="s">
        <v>115</v>
      </c>
      <c r="B45" s="2">
        <v>45822</v>
      </c>
      <c r="C45" t="s">
        <v>24</v>
      </c>
      <c r="D45" t="s">
        <v>10</v>
      </c>
      <c r="E45" t="s">
        <v>11</v>
      </c>
      <c r="F45">
        <v>3372.28</v>
      </c>
      <c r="G45">
        <v>310.3</v>
      </c>
      <c r="H45">
        <v>6</v>
      </c>
      <c r="I45" s="1">
        <f t="shared" si="2"/>
        <v>9.2014897932556017E-2</v>
      </c>
      <c r="J45" t="str">
        <f t="shared" si="3"/>
        <v>High</v>
      </c>
    </row>
    <row r="46" spans="1:10" x14ac:dyDescent="0.3">
      <c r="A46" t="s">
        <v>20</v>
      </c>
      <c r="B46" s="2">
        <v>45829</v>
      </c>
      <c r="C46" t="s">
        <v>9</v>
      </c>
      <c r="D46" t="s">
        <v>21</v>
      </c>
      <c r="E46" t="s">
        <v>22</v>
      </c>
      <c r="F46">
        <v>2297.1999999999998</v>
      </c>
      <c r="G46">
        <v>276.75</v>
      </c>
      <c r="H46">
        <v>7</v>
      </c>
      <c r="I46" s="1">
        <f t="shared" si="2"/>
        <v>0.1204727494340937</v>
      </c>
      <c r="J46" t="str">
        <f t="shared" si="3"/>
        <v>High</v>
      </c>
    </row>
    <row r="47" spans="1:10" x14ac:dyDescent="0.3">
      <c r="A47" t="s">
        <v>89</v>
      </c>
      <c r="B47" s="2">
        <v>45831</v>
      </c>
      <c r="C47" t="s">
        <v>9</v>
      </c>
      <c r="D47" t="s">
        <v>21</v>
      </c>
      <c r="E47" t="s">
        <v>22</v>
      </c>
      <c r="F47">
        <v>3848.04</v>
      </c>
      <c r="G47">
        <v>1344.29</v>
      </c>
      <c r="H47">
        <v>2</v>
      </c>
      <c r="I47" s="1">
        <f t="shared" si="2"/>
        <v>0.34934408166235276</v>
      </c>
      <c r="J47" t="str">
        <f t="shared" si="3"/>
        <v>High</v>
      </c>
    </row>
    <row r="48" spans="1:10" x14ac:dyDescent="0.3">
      <c r="A48" t="s">
        <v>90</v>
      </c>
      <c r="B48" s="2">
        <v>45831</v>
      </c>
      <c r="C48" t="s">
        <v>9</v>
      </c>
      <c r="D48" t="s">
        <v>28</v>
      </c>
      <c r="E48" t="s">
        <v>29</v>
      </c>
      <c r="F48">
        <v>3529.46</v>
      </c>
      <c r="G48">
        <v>771.28</v>
      </c>
      <c r="H48">
        <v>7</v>
      </c>
      <c r="I48" s="1">
        <f t="shared" si="2"/>
        <v>0.21852634680659364</v>
      </c>
      <c r="J48" t="str">
        <f t="shared" si="3"/>
        <v>High</v>
      </c>
    </row>
    <row r="49" spans="1:10" x14ac:dyDescent="0.3">
      <c r="A49" t="s">
        <v>25</v>
      </c>
      <c r="B49" s="2">
        <v>45835</v>
      </c>
      <c r="C49" t="s">
        <v>24</v>
      </c>
      <c r="D49" t="s">
        <v>26</v>
      </c>
      <c r="E49" t="s">
        <v>17</v>
      </c>
      <c r="F49">
        <v>4859.5200000000004</v>
      </c>
      <c r="G49">
        <v>1533.32</v>
      </c>
      <c r="H49">
        <v>7</v>
      </c>
      <c r="I49" s="1">
        <f t="shared" si="2"/>
        <v>0.31552910575530091</v>
      </c>
      <c r="J49" t="str">
        <f t="shared" si="3"/>
        <v>High</v>
      </c>
    </row>
    <row r="50" spans="1:10" x14ac:dyDescent="0.3">
      <c r="A50" t="s">
        <v>86</v>
      </c>
      <c r="B50" s="2">
        <v>45835</v>
      </c>
      <c r="C50" t="s">
        <v>9</v>
      </c>
      <c r="D50" t="s">
        <v>41</v>
      </c>
      <c r="E50" t="s">
        <v>17</v>
      </c>
      <c r="F50">
        <v>805.42</v>
      </c>
      <c r="G50">
        <v>271.35000000000002</v>
      </c>
      <c r="H50">
        <v>5</v>
      </c>
      <c r="I50" s="1">
        <f t="shared" si="2"/>
        <v>0.33690496883613524</v>
      </c>
      <c r="J50" t="str">
        <f t="shared" si="3"/>
        <v>Medium</v>
      </c>
    </row>
    <row r="51" spans="1:10" x14ac:dyDescent="0.3">
      <c r="A51" t="s">
        <v>43</v>
      </c>
      <c r="B51" s="2">
        <v>45852</v>
      </c>
      <c r="C51" t="s">
        <v>38</v>
      </c>
      <c r="D51" t="s">
        <v>21</v>
      </c>
      <c r="E51" t="s">
        <v>22</v>
      </c>
      <c r="F51">
        <v>614.98</v>
      </c>
      <c r="G51">
        <v>168.07</v>
      </c>
      <c r="H51">
        <v>2</v>
      </c>
      <c r="I51" s="1">
        <f t="shared" si="2"/>
        <v>0.27329344043708736</v>
      </c>
      <c r="J51" t="str">
        <f t="shared" si="3"/>
        <v>Medium</v>
      </c>
    </row>
    <row r="52" spans="1:10" x14ac:dyDescent="0.3">
      <c r="A52" t="s">
        <v>97</v>
      </c>
      <c r="B52" s="2">
        <v>45852</v>
      </c>
      <c r="C52" t="s">
        <v>24</v>
      </c>
      <c r="D52" t="s">
        <v>41</v>
      </c>
      <c r="E52" t="s">
        <v>17</v>
      </c>
      <c r="F52">
        <v>1787.44</v>
      </c>
      <c r="G52">
        <v>261.69</v>
      </c>
      <c r="H52">
        <v>7</v>
      </c>
      <c r="I52" s="1">
        <f t="shared" si="2"/>
        <v>0.14640491429082933</v>
      </c>
      <c r="J52" t="str">
        <f t="shared" si="3"/>
        <v>High</v>
      </c>
    </row>
    <row r="53" spans="1:10" x14ac:dyDescent="0.3">
      <c r="A53" t="s">
        <v>30</v>
      </c>
      <c r="B53" s="2">
        <v>45853</v>
      </c>
      <c r="C53" t="s">
        <v>24</v>
      </c>
      <c r="D53" t="s">
        <v>31</v>
      </c>
      <c r="E53" t="s">
        <v>22</v>
      </c>
      <c r="F53">
        <v>1937.95</v>
      </c>
      <c r="G53">
        <v>449.01</v>
      </c>
      <c r="H53">
        <v>2</v>
      </c>
      <c r="I53" s="1">
        <f t="shared" si="2"/>
        <v>0.2316932841404577</v>
      </c>
      <c r="J53" t="str">
        <f t="shared" si="3"/>
        <v>High</v>
      </c>
    </row>
    <row r="54" spans="1:10" x14ac:dyDescent="0.3">
      <c r="A54" t="s">
        <v>79</v>
      </c>
      <c r="B54" s="2">
        <v>45857</v>
      </c>
      <c r="C54" t="s">
        <v>24</v>
      </c>
      <c r="D54" t="s">
        <v>21</v>
      </c>
      <c r="E54" t="s">
        <v>22</v>
      </c>
      <c r="F54">
        <v>3358.4</v>
      </c>
      <c r="G54">
        <v>832.25</v>
      </c>
      <c r="H54">
        <v>4</v>
      </c>
      <c r="I54" s="1">
        <f t="shared" si="2"/>
        <v>0.24781145783706526</v>
      </c>
      <c r="J54" t="str">
        <f t="shared" si="3"/>
        <v>High</v>
      </c>
    </row>
    <row r="55" spans="1:10" x14ac:dyDescent="0.3">
      <c r="A55" t="s">
        <v>18</v>
      </c>
      <c r="B55" s="2">
        <v>45861</v>
      </c>
      <c r="C55" t="s">
        <v>15</v>
      </c>
      <c r="D55" t="s">
        <v>13</v>
      </c>
      <c r="E55" t="s">
        <v>11</v>
      </c>
      <c r="F55">
        <v>649.28</v>
      </c>
      <c r="G55">
        <v>194.98</v>
      </c>
      <c r="H55">
        <v>2</v>
      </c>
      <c r="I55" s="1">
        <f t="shared" si="2"/>
        <v>0.30030187284376542</v>
      </c>
      <c r="J55" t="str">
        <f t="shared" si="3"/>
        <v>Medium</v>
      </c>
    </row>
    <row r="56" spans="1:10" x14ac:dyDescent="0.3">
      <c r="A56" t="s">
        <v>58</v>
      </c>
      <c r="B56" s="2">
        <v>45862</v>
      </c>
      <c r="C56" t="s">
        <v>9</v>
      </c>
      <c r="D56" t="s">
        <v>10</v>
      </c>
      <c r="E56" t="s">
        <v>11</v>
      </c>
      <c r="F56">
        <v>1095.1199999999999</v>
      </c>
      <c r="G56">
        <v>200.99</v>
      </c>
      <c r="H56">
        <v>5</v>
      </c>
      <c r="I56" s="1">
        <f t="shared" si="2"/>
        <v>0.18353239827598805</v>
      </c>
      <c r="J56" t="str">
        <f t="shared" si="3"/>
        <v>Medium</v>
      </c>
    </row>
    <row r="57" spans="1:10" x14ac:dyDescent="0.3">
      <c r="A57" t="s">
        <v>23</v>
      </c>
      <c r="B57" s="2">
        <v>45866</v>
      </c>
      <c r="C57" t="s">
        <v>24</v>
      </c>
      <c r="D57" t="s">
        <v>10</v>
      </c>
      <c r="E57" t="s">
        <v>11</v>
      </c>
      <c r="F57">
        <v>2345.7600000000002</v>
      </c>
      <c r="G57">
        <v>490.63</v>
      </c>
      <c r="H57">
        <v>10</v>
      </c>
      <c r="I57" s="1">
        <f t="shared" si="2"/>
        <v>0.2091560944001091</v>
      </c>
      <c r="J57" t="str">
        <f t="shared" si="3"/>
        <v>High</v>
      </c>
    </row>
    <row r="58" spans="1:10" x14ac:dyDescent="0.3">
      <c r="A58" t="s">
        <v>60</v>
      </c>
      <c r="B58" s="2">
        <v>45869</v>
      </c>
      <c r="C58" t="s">
        <v>15</v>
      </c>
      <c r="D58" t="s">
        <v>16</v>
      </c>
      <c r="E58" t="s">
        <v>17</v>
      </c>
      <c r="F58">
        <v>894.96</v>
      </c>
      <c r="G58">
        <v>208.27</v>
      </c>
      <c r="H58">
        <v>1</v>
      </c>
      <c r="I58" s="1">
        <f t="shared" si="2"/>
        <v>0.23271431125413428</v>
      </c>
      <c r="J58" t="str">
        <f t="shared" si="3"/>
        <v>Medium</v>
      </c>
    </row>
    <row r="59" spans="1:10" x14ac:dyDescent="0.3">
      <c r="A59" t="s">
        <v>64</v>
      </c>
      <c r="B59" s="2">
        <v>45872</v>
      </c>
      <c r="C59" t="s">
        <v>9</v>
      </c>
      <c r="D59" t="s">
        <v>31</v>
      </c>
      <c r="E59" t="s">
        <v>22</v>
      </c>
      <c r="F59">
        <v>1202.7</v>
      </c>
      <c r="G59">
        <v>341.06</v>
      </c>
      <c r="H59">
        <v>6</v>
      </c>
      <c r="I59" s="1">
        <f t="shared" si="2"/>
        <v>0.28357861478340401</v>
      </c>
      <c r="J59" t="str">
        <f t="shared" si="3"/>
        <v>Medium</v>
      </c>
    </row>
    <row r="60" spans="1:10" x14ac:dyDescent="0.3">
      <c r="A60" t="s">
        <v>49</v>
      </c>
      <c r="B60" s="2">
        <v>45880</v>
      </c>
      <c r="C60" t="s">
        <v>9</v>
      </c>
      <c r="D60" t="s">
        <v>41</v>
      </c>
      <c r="E60" t="s">
        <v>17</v>
      </c>
      <c r="F60">
        <v>4815.47</v>
      </c>
      <c r="G60">
        <v>422.42</v>
      </c>
      <c r="H60">
        <v>4</v>
      </c>
      <c r="I60" s="1">
        <f t="shared" si="2"/>
        <v>8.7721447750686854E-2</v>
      </c>
      <c r="J60" t="str">
        <f t="shared" si="3"/>
        <v>High</v>
      </c>
    </row>
    <row r="61" spans="1:10" x14ac:dyDescent="0.3">
      <c r="A61" t="s">
        <v>66</v>
      </c>
      <c r="B61" s="2">
        <v>45881</v>
      </c>
      <c r="C61" t="s">
        <v>38</v>
      </c>
      <c r="D61" t="s">
        <v>10</v>
      </c>
      <c r="E61" t="s">
        <v>11</v>
      </c>
      <c r="F61">
        <v>3251.64</v>
      </c>
      <c r="G61">
        <v>346.12</v>
      </c>
      <c r="H61">
        <v>9</v>
      </c>
      <c r="I61" s="1">
        <f t="shared" si="2"/>
        <v>0.10644474788106925</v>
      </c>
      <c r="J61" t="str">
        <f t="shared" si="3"/>
        <v>High</v>
      </c>
    </row>
    <row r="62" spans="1:10" x14ac:dyDescent="0.3">
      <c r="A62" t="s">
        <v>14</v>
      </c>
      <c r="B62" s="2">
        <v>45882</v>
      </c>
      <c r="C62" t="s">
        <v>15</v>
      </c>
      <c r="D62" t="s">
        <v>16</v>
      </c>
      <c r="E62" t="s">
        <v>17</v>
      </c>
      <c r="F62">
        <v>3582.18</v>
      </c>
      <c r="G62">
        <v>605.36</v>
      </c>
      <c r="H62">
        <v>1</v>
      </c>
      <c r="I62" s="1">
        <f t="shared" si="2"/>
        <v>0.16899206628365968</v>
      </c>
      <c r="J62" t="str">
        <f t="shared" si="3"/>
        <v>High</v>
      </c>
    </row>
    <row r="63" spans="1:10" x14ac:dyDescent="0.3">
      <c r="A63" t="s">
        <v>35</v>
      </c>
      <c r="B63" s="2">
        <v>45882</v>
      </c>
      <c r="C63" t="s">
        <v>15</v>
      </c>
      <c r="D63" t="s">
        <v>31</v>
      </c>
      <c r="E63" t="s">
        <v>22</v>
      </c>
      <c r="F63">
        <v>3021.62</v>
      </c>
      <c r="G63">
        <v>265.23</v>
      </c>
      <c r="H63">
        <v>3</v>
      </c>
      <c r="I63" s="1">
        <f t="shared" si="2"/>
        <v>8.7777417411851924E-2</v>
      </c>
      <c r="J63" t="str">
        <f t="shared" si="3"/>
        <v>High</v>
      </c>
    </row>
    <row r="64" spans="1:10" x14ac:dyDescent="0.3">
      <c r="A64" t="s">
        <v>68</v>
      </c>
      <c r="B64" s="2">
        <v>45883</v>
      </c>
      <c r="C64" t="s">
        <v>9</v>
      </c>
      <c r="D64" t="s">
        <v>41</v>
      </c>
      <c r="E64" t="s">
        <v>17</v>
      </c>
      <c r="F64">
        <v>4085.19</v>
      </c>
      <c r="G64">
        <v>396.86</v>
      </c>
      <c r="H64">
        <v>2</v>
      </c>
      <c r="I64" s="1">
        <f t="shared" si="2"/>
        <v>9.7146032375483152E-2</v>
      </c>
      <c r="J64" t="str">
        <f t="shared" si="3"/>
        <v>High</v>
      </c>
    </row>
    <row r="65" spans="1:10" x14ac:dyDescent="0.3">
      <c r="A65" t="s">
        <v>95</v>
      </c>
      <c r="B65" s="2">
        <v>45884</v>
      </c>
      <c r="C65" t="s">
        <v>38</v>
      </c>
      <c r="D65" t="s">
        <v>21</v>
      </c>
      <c r="E65" t="s">
        <v>22</v>
      </c>
      <c r="F65">
        <v>4130.25</v>
      </c>
      <c r="G65">
        <v>1232.57</v>
      </c>
      <c r="H65">
        <v>4</v>
      </c>
      <c r="I65" s="1">
        <f t="shared" si="2"/>
        <v>0.29842503480418858</v>
      </c>
      <c r="J65" t="str">
        <f t="shared" si="3"/>
        <v>High</v>
      </c>
    </row>
    <row r="66" spans="1:10" x14ac:dyDescent="0.3">
      <c r="A66" t="s">
        <v>107</v>
      </c>
      <c r="B66" s="2">
        <v>45887</v>
      </c>
      <c r="C66" t="s">
        <v>15</v>
      </c>
      <c r="D66" t="s">
        <v>13</v>
      </c>
      <c r="E66" t="s">
        <v>11</v>
      </c>
      <c r="F66">
        <v>1436.14</v>
      </c>
      <c r="G66">
        <v>151.88999999999999</v>
      </c>
      <c r="H66">
        <v>9</v>
      </c>
      <c r="I66" s="1">
        <f t="shared" ref="I66:I101" si="4">G66/F66</f>
        <v>0.10576266937763726</v>
      </c>
      <c r="J66" t="str">
        <f t="shared" ref="J66:J101" si="5">IF(F66&gt;1500,"High","Medium")</f>
        <v>Medium</v>
      </c>
    </row>
    <row r="67" spans="1:10" x14ac:dyDescent="0.3">
      <c r="A67" t="s">
        <v>73</v>
      </c>
      <c r="B67" s="2">
        <v>45888</v>
      </c>
      <c r="C67" t="s">
        <v>15</v>
      </c>
      <c r="D67" t="s">
        <v>41</v>
      </c>
      <c r="E67" t="s">
        <v>17</v>
      </c>
      <c r="F67">
        <v>2857.19</v>
      </c>
      <c r="G67">
        <v>244.48</v>
      </c>
      <c r="H67">
        <v>1</v>
      </c>
      <c r="I67" s="1">
        <f t="shared" si="4"/>
        <v>8.5566588151295503E-2</v>
      </c>
      <c r="J67" t="str">
        <f t="shared" si="5"/>
        <v>High</v>
      </c>
    </row>
    <row r="68" spans="1:10" x14ac:dyDescent="0.3">
      <c r="A68" t="s">
        <v>119</v>
      </c>
      <c r="B68" s="2">
        <v>45892</v>
      </c>
      <c r="C68" t="s">
        <v>15</v>
      </c>
      <c r="D68" t="s">
        <v>13</v>
      </c>
      <c r="E68" t="s">
        <v>11</v>
      </c>
      <c r="F68">
        <v>564.91</v>
      </c>
      <c r="G68">
        <v>175.62</v>
      </c>
      <c r="H68">
        <v>7</v>
      </c>
      <c r="I68" s="1">
        <f t="shared" si="4"/>
        <v>0.31088137933476129</v>
      </c>
      <c r="J68" t="str">
        <f t="shared" si="5"/>
        <v>Medium</v>
      </c>
    </row>
    <row r="69" spans="1:10" x14ac:dyDescent="0.3">
      <c r="A69" t="s">
        <v>70</v>
      </c>
      <c r="B69" s="2">
        <v>45894</v>
      </c>
      <c r="C69" t="s">
        <v>15</v>
      </c>
      <c r="D69" t="s">
        <v>16</v>
      </c>
      <c r="E69" t="s">
        <v>17</v>
      </c>
      <c r="F69">
        <v>473.11</v>
      </c>
      <c r="G69">
        <v>149.30000000000001</v>
      </c>
      <c r="H69">
        <v>2</v>
      </c>
      <c r="I69" s="1">
        <f t="shared" si="4"/>
        <v>0.31557143159096196</v>
      </c>
      <c r="J69" t="str">
        <f t="shared" si="5"/>
        <v>Medium</v>
      </c>
    </row>
    <row r="70" spans="1:10" x14ac:dyDescent="0.3">
      <c r="A70" t="s">
        <v>113</v>
      </c>
      <c r="B70" s="2">
        <v>45894</v>
      </c>
      <c r="C70" t="s">
        <v>9</v>
      </c>
      <c r="D70" t="s">
        <v>26</v>
      </c>
      <c r="E70" t="s">
        <v>17</v>
      </c>
      <c r="F70">
        <v>1905.89</v>
      </c>
      <c r="G70">
        <v>231.24</v>
      </c>
      <c r="H70">
        <v>6</v>
      </c>
      <c r="I70" s="1">
        <f t="shared" si="4"/>
        <v>0.12132914281516771</v>
      </c>
      <c r="J70" t="str">
        <f t="shared" si="5"/>
        <v>High</v>
      </c>
    </row>
    <row r="71" spans="1:10" x14ac:dyDescent="0.3">
      <c r="A71" t="s">
        <v>53</v>
      </c>
      <c r="B71" s="2">
        <v>45895</v>
      </c>
      <c r="C71" t="s">
        <v>15</v>
      </c>
      <c r="D71" t="s">
        <v>10</v>
      </c>
      <c r="E71" t="s">
        <v>11</v>
      </c>
      <c r="F71">
        <v>4185.04</v>
      </c>
      <c r="G71">
        <v>681.67</v>
      </c>
      <c r="H71">
        <v>4</v>
      </c>
      <c r="I71" s="1">
        <f t="shared" si="4"/>
        <v>0.16288255309387722</v>
      </c>
      <c r="J71" t="str">
        <f t="shared" si="5"/>
        <v>High</v>
      </c>
    </row>
    <row r="72" spans="1:10" x14ac:dyDescent="0.3">
      <c r="A72" t="s">
        <v>87</v>
      </c>
      <c r="B72" s="2">
        <v>45897</v>
      </c>
      <c r="C72" t="s">
        <v>15</v>
      </c>
      <c r="D72" t="s">
        <v>31</v>
      </c>
      <c r="E72" t="s">
        <v>22</v>
      </c>
      <c r="F72">
        <v>2668.71</v>
      </c>
      <c r="G72">
        <v>314.36</v>
      </c>
      <c r="H72">
        <v>5</v>
      </c>
      <c r="I72" s="1">
        <f t="shared" si="4"/>
        <v>0.11779473978064309</v>
      </c>
      <c r="J72" t="str">
        <f t="shared" si="5"/>
        <v>High</v>
      </c>
    </row>
    <row r="73" spans="1:10" x14ac:dyDescent="0.3">
      <c r="A73" t="s">
        <v>36</v>
      </c>
      <c r="B73" s="2">
        <v>45898</v>
      </c>
      <c r="C73" t="s">
        <v>9</v>
      </c>
      <c r="D73" t="s">
        <v>13</v>
      </c>
      <c r="E73" t="s">
        <v>11</v>
      </c>
      <c r="F73">
        <v>2453.02</v>
      </c>
      <c r="G73">
        <v>395.34</v>
      </c>
      <c r="H73">
        <v>2</v>
      </c>
      <c r="I73" s="1">
        <f t="shared" si="4"/>
        <v>0.16116460526208509</v>
      </c>
      <c r="J73" t="str">
        <f t="shared" si="5"/>
        <v>High</v>
      </c>
    </row>
    <row r="74" spans="1:10" x14ac:dyDescent="0.3">
      <c r="A74" t="s">
        <v>62</v>
      </c>
      <c r="B74" s="2">
        <v>45907</v>
      </c>
      <c r="C74" t="s">
        <v>15</v>
      </c>
      <c r="D74" t="s">
        <v>41</v>
      </c>
      <c r="E74" t="s">
        <v>17</v>
      </c>
      <c r="F74">
        <v>4352.25</v>
      </c>
      <c r="G74">
        <v>656.3</v>
      </c>
      <c r="H74">
        <v>6</v>
      </c>
      <c r="I74" s="1">
        <f t="shared" si="4"/>
        <v>0.15079556551209145</v>
      </c>
      <c r="J74" t="str">
        <f t="shared" si="5"/>
        <v>High</v>
      </c>
    </row>
    <row r="75" spans="1:10" x14ac:dyDescent="0.3">
      <c r="A75" t="s">
        <v>108</v>
      </c>
      <c r="B75" s="2">
        <v>45908</v>
      </c>
      <c r="C75" t="s">
        <v>38</v>
      </c>
      <c r="D75" t="s">
        <v>28</v>
      </c>
      <c r="E75" t="s">
        <v>29</v>
      </c>
      <c r="F75">
        <v>4177.87</v>
      </c>
      <c r="G75">
        <v>545.08000000000004</v>
      </c>
      <c r="H75">
        <v>3</v>
      </c>
      <c r="I75" s="1">
        <f t="shared" si="4"/>
        <v>0.13046839657528839</v>
      </c>
      <c r="J75" t="str">
        <f t="shared" si="5"/>
        <v>High</v>
      </c>
    </row>
    <row r="76" spans="1:10" x14ac:dyDescent="0.3">
      <c r="A76" t="s">
        <v>83</v>
      </c>
      <c r="B76" s="2">
        <v>45919</v>
      </c>
      <c r="C76" t="s">
        <v>24</v>
      </c>
      <c r="D76" t="s">
        <v>21</v>
      </c>
      <c r="E76" t="s">
        <v>22</v>
      </c>
      <c r="F76">
        <v>3922.52</v>
      </c>
      <c r="G76">
        <v>1080.44</v>
      </c>
      <c r="H76">
        <v>3</v>
      </c>
      <c r="I76" s="1">
        <f t="shared" si="4"/>
        <v>0.27544537695155158</v>
      </c>
      <c r="J76" t="str">
        <f t="shared" si="5"/>
        <v>High</v>
      </c>
    </row>
    <row r="77" spans="1:10" x14ac:dyDescent="0.3">
      <c r="A77" t="s">
        <v>111</v>
      </c>
      <c r="B77" s="2">
        <v>45925</v>
      </c>
      <c r="C77" t="s">
        <v>15</v>
      </c>
      <c r="D77" t="s">
        <v>16</v>
      </c>
      <c r="E77" t="s">
        <v>17</v>
      </c>
      <c r="F77">
        <v>1774.55</v>
      </c>
      <c r="G77">
        <v>306.10000000000002</v>
      </c>
      <c r="H77">
        <v>8</v>
      </c>
      <c r="I77" s="1">
        <f t="shared" si="4"/>
        <v>0.17249443520892621</v>
      </c>
      <c r="J77" t="str">
        <f t="shared" si="5"/>
        <v>High</v>
      </c>
    </row>
    <row r="78" spans="1:10" x14ac:dyDescent="0.3">
      <c r="A78" t="s">
        <v>75</v>
      </c>
      <c r="B78" s="2">
        <v>45927</v>
      </c>
      <c r="C78" t="s">
        <v>38</v>
      </c>
      <c r="D78" t="s">
        <v>21</v>
      </c>
      <c r="E78" t="s">
        <v>22</v>
      </c>
      <c r="F78">
        <v>3347.58</v>
      </c>
      <c r="G78">
        <v>762.47</v>
      </c>
      <c r="H78">
        <v>8</v>
      </c>
      <c r="I78" s="1">
        <f t="shared" si="4"/>
        <v>0.22776752161262764</v>
      </c>
      <c r="J78" t="str">
        <f t="shared" si="5"/>
        <v>High</v>
      </c>
    </row>
    <row r="79" spans="1:10" x14ac:dyDescent="0.3">
      <c r="A79" t="s">
        <v>42</v>
      </c>
      <c r="B79" s="2">
        <v>45930</v>
      </c>
      <c r="C79" t="s">
        <v>24</v>
      </c>
      <c r="D79" t="s">
        <v>16</v>
      </c>
      <c r="E79" t="s">
        <v>17</v>
      </c>
      <c r="F79">
        <v>4934.8599999999997</v>
      </c>
      <c r="G79">
        <v>1459.87</v>
      </c>
      <c r="H79">
        <v>10</v>
      </c>
      <c r="I79" s="1">
        <f t="shared" si="4"/>
        <v>0.29582804780682737</v>
      </c>
      <c r="J79" t="str">
        <f t="shared" si="5"/>
        <v>High</v>
      </c>
    </row>
    <row r="80" spans="1:10" x14ac:dyDescent="0.3">
      <c r="A80" t="s">
        <v>105</v>
      </c>
      <c r="B80" s="2">
        <v>45933</v>
      </c>
      <c r="C80" t="s">
        <v>9</v>
      </c>
      <c r="D80" t="s">
        <v>21</v>
      </c>
      <c r="E80" t="s">
        <v>22</v>
      </c>
      <c r="F80">
        <v>1863.04</v>
      </c>
      <c r="G80">
        <v>557.73</v>
      </c>
      <c r="H80">
        <v>7</v>
      </c>
      <c r="I80" s="1">
        <f t="shared" si="4"/>
        <v>0.29936555307454482</v>
      </c>
      <c r="J80" t="str">
        <f t="shared" si="5"/>
        <v>High</v>
      </c>
    </row>
    <row r="81" spans="1:10" x14ac:dyDescent="0.3">
      <c r="A81" t="s">
        <v>56</v>
      </c>
      <c r="B81" s="2">
        <v>45943</v>
      </c>
      <c r="C81" t="s">
        <v>38</v>
      </c>
      <c r="D81" t="s">
        <v>10</v>
      </c>
      <c r="E81" t="s">
        <v>11</v>
      </c>
      <c r="F81">
        <v>353.18</v>
      </c>
      <c r="G81">
        <v>63.81</v>
      </c>
      <c r="H81">
        <v>6</v>
      </c>
      <c r="I81" s="1">
        <f t="shared" si="4"/>
        <v>0.1806727447760349</v>
      </c>
      <c r="J81" t="str">
        <f t="shared" si="5"/>
        <v>Medium</v>
      </c>
    </row>
    <row r="82" spans="1:10" x14ac:dyDescent="0.3">
      <c r="A82" t="s">
        <v>52</v>
      </c>
      <c r="B82" s="2">
        <v>45946</v>
      </c>
      <c r="C82" t="s">
        <v>9</v>
      </c>
      <c r="D82" t="s">
        <v>26</v>
      </c>
      <c r="E82" t="s">
        <v>17</v>
      </c>
      <c r="F82">
        <v>1290.1400000000001</v>
      </c>
      <c r="G82">
        <v>196.8</v>
      </c>
      <c r="H82">
        <v>9</v>
      </c>
      <c r="I82" s="1">
        <f t="shared" si="4"/>
        <v>0.15254158463422574</v>
      </c>
      <c r="J82" t="str">
        <f t="shared" si="5"/>
        <v>Medium</v>
      </c>
    </row>
    <row r="83" spans="1:10" x14ac:dyDescent="0.3">
      <c r="A83" t="s">
        <v>93</v>
      </c>
      <c r="B83" s="2">
        <v>45947</v>
      </c>
      <c r="C83" t="s">
        <v>9</v>
      </c>
      <c r="D83" t="s">
        <v>16</v>
      </c>
      <c r="E83" t="s">
        <v>17</v>
      </c>
      <c r="F83">
        <v>1792.62</v>
      </c>
      <c r="G83">
        <v>596.6</v>
      </c>
      <c r="H83">
        <v>3</v>
      </c>
      <c r="I83" s="1">
        <f t="shared" si="4"/>
        <v>0.33280896118530423</v>
      </c>
      <c r="J83" t="str">
        <f t="shared" si="5"/>
        <v>High</v>
      </c>
    </row>
    <row r="84" spans="1:10" x14ac:dyDescent="0.3">
      <c r="A84" t="s">
        <v>104</v>
      </c>
      <c r="B84" s="2">
        <v>45948</v>
      </c>
      <c r="C84" t="s">
        <v>38</v>
      </c>
      <c r="D84" t="s">
        <v>26</v>
      </c>
      <c r="E84" t="s">
        <v>17</v>
      </c>
      <c r="F84">
        <v>257.43</v>
      </c>
      <c r="G84">
        <v>72.930000000000007</v>
      </c>
      <c r="H84">
        <v>2</v>
      </c>
      <c r="I84" s="1">
        <f t="shared" si="4"/>
        <v>0.28330031464864236</v>
      </c>
      <c r="J84" t="str">
        <f t="shared" si="5"/>
        <v>Medium</v>
      </c>
    </row>
    <row r="85" spans="1:10" x14ac:dyDescent="0.3">
      <c r="A85" t="s">
        <v>40</v>
      </c>
      <c r="B85" s="2">
        <v>45957</v>
      </c>
      <c r="C85" t="s">
        <v>15</v>
      </c>
      <c r="D85" t="s">
        <v>41</v>
      </c>
      <c r="E85" t="s">
        <v>17</v>
      </c>
      <c r="F85">
        <v>4286.33</v>
      </c>
      <c r="G85">
        <v>404.68</v>
      </c>
      <c r="H85">
        <v>4</v>
      </c>
      <c r="I85" s="1">
        <f t="shared" si="4"/>
        <v>9.4411769509113855E-2</v>
      </c>
      <c r="J85" t="str">
        <f t="shared" si="5"/>
        <v>High</v>
      </c>
    </row>
    <row r="86" spans="1:10" x14ac:dyDescent="0.3">
      <c r="A86" t="s">
        <v>110</v>
      </c>
      <c r="B86" s="2">
        <v>45959</v>
      </c>
      <c r="C86" t="s">
        <v>24</v>
      </c>
      <c r="D86" t="s">
        <v>41</v>
      </c>
      <c r="E86" t="s">
        <v>17</v>
      </c>
      <c r="F86">
        <v>2644.28</v>
      </c>
      <c r="G86">
        <v>450.38</v>
      </c>
      <c r="H86">
        <v>7</v>
      </c>
      <c r="I86" s="1">
        <f t="shared" si="4"/>
        <v>0.1703223561801322</v>
      </c>
      <c r="J86" t="str">
        <f t="shared" si="5"/>
        <v>High</v>
      </c>
    </row>
    <row r="87" spans="1:10" x14ac:dyDescent="0.3">
      <c r="A87" t="s">
        <v>50</v>
      </c>
      <c r="B87" s="2">
        <v>45960</v>
      </c>
      <c r="C87" t="s">
        <v>9</v>
      </c>
      <c r="D87" t="s">
        <v>28</v>
      </c>
      <c r="E87" t="s">
        <v>29</v>
      </c>
      <c r="F87">
        <v>629.78</v>
      </c>
      <c r="G87">
        <v>107.81</v>
      </c>
      <c r="H87">
        <v>8</v>
      </c>
      <c r="I87" s="1">
        <f t="shared" si="4"/>
        <v>0.17118676363174443</v>
      </c>
      <c r="J87" t="str">
        <f t="shared" si="5"/>
        <v>Medium</v>
      </c>
    </row>
    <row r="88" spans="1:10" x14ac:dyDescent="0.3">
      <c r="A88" t="s">
        <v>103</v>
      </c>
      <c r="B88" s="2">
        <v>45964</v>
      </c>
      <c r="C88" t="s">
        <v>24</v>
      </c>
      <c r="D88" t="s">
        <v>10</v>
      </c>
      <c r="E88" t="s">
        <v>11</v>
      </c>
      <c r="F88">
        <v>4625.08</v>
      </c>
      <c r="G88">
        <v>1378.94</v>
      </c>
      <c r="H88">
        <v>10</v>
      </c>
      <c r="I88" s="1">
        <f t="shared" si="4"/>
        <v>0.29814403210322848</v>
      </c>
      <c r="J88" t="str">
        <f t="shared" si="5"/>
        <v>High</v>
      </c>
    </row>
    <row r="89" spans="1:10" x14ac:dyDescent="0.3">
      <c r="A89" t="s">
        <v>122</v>
      </c>
      <c r="B89" s="2">
        <v>45967</v>
      </c>
      <c r="C89" t="s">
        <v>15</v>
      </c>
      <c r="D89" t="s">
        <v>21</v>
      </c>
      <c r="E89" t="s">
        <v>22</v>
      </c>
      <c r="F89">
        <v>888.33</v>
      </c>
      <c r="G89">
        <v>264.12</v>
      </c>
      <c r="H89">
        <v>4</v>
      </c>
      <c r="I89" s="1">
        <f t="shared" si="4"/>
        <v>0.29732194117051097</v>
      </c>
      <c r="J89" t="str">
        <f t="shared" si="5"/>
        <v>Medium</v>
      </c>
    </row>
    <row r="90" spans="1:10" x14ac:dyDescent="0.3">
      <c r="A90" t="s">
        <v>114</v>
      </c>
      <c r="B90" s="2">
        <v>45968</v>
      </c>
      <c r="C90" t="s">
        <v>38</v>
      </c>
      <c r="D90" t="s">
        <v>16</v>
      </c>
      <c r="E90" t="s">
        <v>17</v>
      </c>
      <c r="F90">
        <v>3148.96</v>
      </c>
      <c r="G90">
        <v>674.7</v>
      </c>
      <c r="H90">
        <v>6</v>
      </c>
      <c r="I90" s="1">
        <f t="shared" si="4"/>
        <v>0.21426121640160561</v>
      </c>
      <c r="J90" t="str">
        <f t="shared" si="5"/>
        <v>High</v>
      </c>
    </row>
    <row r="91" spans="1:10" x14ac:dyDescent="0.3">
      <c r="A91" t="s">
        <v>112</v>
      </c>
      <c r="B91" s="2">
        <v>45969</v>
      </c>
      <c r="C91" t="s">
        <v>24</v>
      </c>
      <c r="D91" t="s">
        <v>21</v>
      </c>
      <c r="E91" t="s">
        <v>22</v>
      </c>
      <c r="F91">
        <v>2415.61</v>
      </c>
      <c r="G91">
        <v>725.24</v>
      </c>
      <c r="H91">
        <v>3</v>
      </c>
      <c r="I91" s="1">
        <f t="shared" si="4"/>
        <v>0.30023058357930293</v>
      </c>
      <c r="J91" t="str">
        <f t="shared" si="5"/>
        <v>High</v>
      </c>
    </row>
    <row r="92" spans="1:10" x14ac:dyDescent="0.3">
      <c r="A92" t="s">
        <v>27</v>
      </c>
      <c r="B92" s="2">
        <v>45973</v>
      </c>
      <c r="C92" t="s">
        <v>9</v>
      </c>
      <c r="D92" t="s">
        <v>28</v>
      </c>
      <c r="E92" t="s">
        <v>29</v>
      </c>
      <c r="F92">
        <v>2736.62</v>
      </c>
      <c r="G92">
        <v>851.57</v>
      </c>
      <c r="H92">
        <v>2</v>
      </c>
      <c r="I92" s="1">
        <f t="shared" si="4"/>
        <v>0.31117583003851468</v>
      </c>
      <c r="J92" t="str">
        <f t="shared" si="5"/>
        <v>High</v>
      </c>
    </row>
    <row r="93" spans="1:10" x14ac:dyDescent="0.3">
      <c r="A93" t="s">
        <v>63</v>
      </c>
      <c r="B93" s="2">
        <v>45975</v>
      </c>
      <c r="C93" t="s">
        <v>24</v>
      </c>
      <c r="D93" t="s">
        <v>41</v>
      </c>
      <c r="E93" t="s">
        <v>17</v>
      </c>
      <c r="F93">
        <v>2551.65</v>
      </c>
      <c r="G93">
        <v>623.5</v>
      </c>
      <c r="H93">
        <v>3</v>
      </c>
      <c r="I93" s="1">
        <f t="shared" si="4"/>
        <v>0.24435169400192031</v>
      </c>
      <c r="J93" t="str">
        <f t="shared" si="5"/>
        <v>High</v>
      </c>
    </row>
    <row r="94" spans="1:10" x14ac:dyDescent="0.3">
      <c r="A94" t="s">
        <v>123</v>
      </c>
      <c r="B94" s="2">
        <v>45979</v>
      </c>
      <c r="C94" t="s">
        <v>38</v>
      </c>
      <c r="D94" t="s">
        <v>41</v>
      </c>
      <c r="E94" t="s">
        <v>17</v>
      </c>
      <c r="F94">
        <v>607.42999999999995</v>
      </c>
      <c r="G94">
        <v>56.13</v>
      </c>
      <c r="H94">
        <v>10</v>
      </c>
      <c r="I94" s="1">
        <f t="shared" si="4"/>
        <v>9.2405709299837033E-2</v>
      </c>
      <c r="J94" t="str">
        <f t="shared" si="5"/>
        <v>Medium</v>
      </c>
    </row>
    <row r="95" spans="1:10" x14ac:dyDescent="0.3">
      <c r="A95" t="s">
        <v>32</v>
      </c>
      <c r="B95" s="2">
        <v>45981</v>
      </c>
      <c r="C95" t="s">
        <v>9</v>
      </c>
      <c r="D95" t="s">
        <v>31</v>
      </c>
      <c r="E95" t="s">
        <v>22</v>
      </c>
      <c r="F95">
        <v>4382.63</v>
      </c>
      <c r="G95">
        <v>442.76</v>
      </c>
      <c r="H95">
        <v>5</v>
      </c>
      <c r="I95" s="1">
        <f t="shared" si="4"/>
        <v>0.10102609620250853</v>
      </c>
      <c r="J95" t="str">
        <f t="shared" si="5"/>
        <v>High</v>
      </c>
    </row>
    <row r="96" spans="1:10" x14ac:dyDescent="0.3">
      <c r="A96" t="s">
        <v>99</v>
      </c>
      <c r="B96" s="2">
        <v>45985</v>
      </c>
      <c r="C96" t="s">
        <v>38</v>
      </c>
      <c r="D96" t="s">
        <v>13</v>
      </c>
      <c r="E96" t="s">
        <v>11</v>
      </c>
      <c r="F96">
        <v>4594.26</v>
      </c>
      <c r="G96">
        <v>1222.22</v>
      </c>
      <c r="H96">
        <v>3</v>
      </c>
      <c r="I96" s="1">
        <f t="shared" si="4"/>
        <v>0.26603196162167575</v>
      </c>
      <c r="J96" t="str">
        <f t="shared" si="5"/>
        <v>High</v>
      </c>
    </row>
    <row r="97" spans="1:10" x14ac:dyDescent="0.3">
      <c r="A97" t="s">
        <v>19</v>
      </c>
      <c r="B97" s="2">
        <v>45986</v>
      </c>
      <c r="C97" t="s">
        <v>9</v>
      </c>
      <c r="D97" t="s">
        <v>16</v>
      </c>
      <c r="E97" t="s">
        <v>17</v>
      </c>
      <c r="F97">
        <v>3441.39</v>
      </c>
      <c r="G97">
        <v>888.07</v>
      </c>
      <c r="H97">
        <v>10</v>
      </c>
      <c r="I97" s="1">
        <f t="shared" si="4"/>
        <v>0.25805561125010534</v>
      </c>
      <c r="J97" t="str">
        <f t="shared" si="5"/>
        <v>High</v>
      </c>
    </row>
    <row r="98" spans="1:10" x14ac:dyDescent="0.3">
      <c r="A98" t="s">
        <v>54</v>
      </c>
      <c r="B98" s="2">
        <v>46006</v>
      </c>
      <c r="C98" t="s">
        <v>15</v>
      </c>
      <c r="D98" t="s">
        <v>26</v>
      </c>
      <c r="E98" t="s">
        <v>17</v>
      </c>
      <c r="F98">
        <v>3953.6</v>
      </c>
      <c r="G98">
        <v>999.63</v>
      </c>
      <c r="H98">
        <v>5</v>
      </c>
      <c r="I98" s="1">
        <f t="shared" si="4"/>
        <v>0.25284044921084581</v>
      </c>
      <c r="J98" t="str">
        <f t="shared" si="5"/>
        <v>High</v>
      </c>
    </row>
    <row r="99" spans="1:10" x14ac:dyDescent="0.3">
      <c r="A99" t="s">
        <v>91</v>
      </c>
      <c r="B99" s="2">
        <v>46018</v>
      </c>
      <c r="C99" t="s">
        <v>9</v>
      </c>
      <c r="D99" t="s">
        <v>13</v>
      </c>
      <c r="E99" t="s">
        <v>11</v>
      </c>
      <c r="F99">
        <v>2740.41</v>
      </c>
      <c r="G99">
        <v>432.12</v>
      </c>
      <c r="H99">
        <v>9</v>
      </c>
      <c r="I99" s="1">
        <f t="shared" si="4"/>
        <v>0.15768443408103169</v>
      </c>
      <c r="J99" t="str">
        <f t="shared" si="5"/>
        <v>High</v>
      </c>
    </row>
    <row r="100" spans="1:10" x14ac:dyDescent="0.3">
      <c r="A100" t="s">
        <v>33</v>
      </c>
      <c r="B100" s="2">
        <v>46020</v>
      </c>
      <c r="C100" t="s">
        <v>9</v>
      </c>
      <c r="D100" t="s">
        <v>16</v>
      </c>
      <c r="E100" t="s">
        <v>17</v>
      </c>
      <c r="F100">
        <v>2681.15</v>
      </c>
      <c r="G100">
        <v>390.58</v>
      </c>
      <c r="H100">
        <v>2</v>
      </c>
      <c r="I100" s="1">
        <f t="shared" si="4"/>
        <v>0.14567629561941703</v>
      </c>
      <c r="J100" t="str">
        <f t="shared" si="5"/>
        <v>High</v>
      </c>
    </row>
    <row r="101" spans="1:10" x14ac:dyDescent="0.3">
      <c r="A101" t="s">
        <v>45</v>
      </c>
      <c r="B101" s="2">
        <v>46020</v>
      </c>
      <c r="C101" t="s">
        <v>15</v>
      </c>
      <c r="D101" t="s">
        <v>41</v>
      </c>
      <c r="E101" t="s">
        <v>17</v>
      </c>
      <c r="F101">
        <v>4655.2700000000004</v>
      </c>
      <c r="G101">
        <v>986.07</v>
      </c>
      <c r="H101">
        <v>7</v>
      </c>
      <c r="I101" s="1">
        <f t="shared" si="4"/>
        <v>0.21181800411146937</v>
      </c>
      <c r="J101" t="str">
        <f t="shared" si="5"/>
        <v>High</v>
      </c>
    </row>
  </sheetData>
  <sortState xmlns:xlrd2="http://schemas.microsoft.com/office/spreadsheetml/2017/richdata2" ref="A2:J101">
    <sortCondition ref="B1:B101"/>
  </sortState>
  <conditionalFormatting sqref="J1:J1048576">
    <cfRule type="containsText" dxfId="0" priority="1" operator="containsText" text="medium">
      <formula>NOT(ISERROR(SEARCH("medium",J1)))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SHARMA</cp:lastModifiedBy>
  <dcterms:created xsi:type="dcterms:W3CDTF">2026-06-20T17:54:02Z</dcterms:created>
  <dcterms:modified xsi:type="dcterms:W3CDTF">2026-06-23T14:30:33Z</dcterms:modified>
</cp:coreProperties>
</file>